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lori\OneDrive\Gloris\COURSES\WSB MERITO\Semester 4\Diploma Seminar\Electronic version\"/>
    </mc:Choice>
  </mc:AlternateContent>
  <bookViews>
    <workbookView xWindow="0" yWindow="0" windowWidth="19200" windowHeight="7050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6" i="1" l="1"/>
  <c r="AE16" i="1"/>
  <c r="AD16" i="1"/>
  <c r="AC16" i="1"/>
  <c r="AB16" i="1"/>
  <c r="AA16" i="1"/>
  <c r="Z16" i="1"/>
  <c r="Y16" i="1"/>
  <c r="X16" i="1"/>
  <c r="AF15" i="1"/>
  <c r="AE15" i="1"/>
  <c r="AD15" i="1"/>
  <c r="AC15" i="1"/>
  <c r="AB15" i="1"/>
  <c r="AA15" i="1"/>
  <c r="Z15" i="1"/>
  <c r="Y15" i="1"/>
  <c r="X15" i="1"/>
</calcChain>
</file>

<file path=xl/sharedStrings.xml><?xml version="1.0" encoding="utf-8"?>
<sst xmlns="http://schemas.openxmlformats.org/spreadsheetml/2006/main" count="139" uniqueCount="75">
  <si>
    <r>
      <t xml:space="preserve">                                                                                                       </t>
    </r>
    <r>
      <rPr>
        <b/>
        <i/>
        <sz val="14"/>
        <color theme="1"/>
        <rFont val="Times New Roman"/>
        <family val="1"/>
      </rPr>
      <t>Results  and Comparisons</t>
    </r>
  </si>
  <si>
    <r>
      <t xml:space="preserve">                                       </t>
    </r>
    <r>
      <rPr>
        <b/>
        <i/>
        <sz val="14"/>
        <color theme="1"/>
        <rFont val="Times New Roman"/>
        <family val="1"/>
      </rPr>
      <t>Average Throughput  (Mbps)(Delay link =20ms)</t>
    </r>
  </si>
  <si>
    <r>
      <t xml:space="preserve">                                       </t>
    </r>
    <r>
      <rPr>
        <b/>
        <i/>
        <sz val="14"/>
        <color theme="1"/>
        <rFont val="Times New Roman"/>
        <family val="1"/>
      </rPr>
      <t>Average Throughput  (Mbps)(Delay link =2ms)</t>
    </r>
  </si>
  <si>
    <r>
      <t xml:space="preserve">                                                                  </t>
    </r>
    <r>
      <rPr>
        <b/>
        <i/>
        <sz val="14"/>
        <color theme="1"/>
        <rFont val="Times New Roman"/>
        <family val="1"/>
      </rPr>
      <t>Throughput (Mbps)(Delay link =20ms)</t>
    </r>
  </si>
  <si>
    <t>Segment Size</t>
  </si>
  <si>
    <t>Num Flows</t>
  </si>
  <si>
    <t>Cubic</t>
  </si>
  <si>
    <t>High-Speed</t>
  </si>
  <si>
    <t>BBR</t>
  </si>
  <si>
    <t xml:space="preserve">                             2 flows </t>
  </si>
  <si>
    <t xml:space="preserve">                 5 flows </t>
  </si>
  <si>
    <r>
      <t xml:space="preserve">             </t>
    </r>
    <r>
      <rPr>
        <b/>
        <i/>
        <sz val="14"/>
        <color theme="1"/>
        <rFont val="Times New Roman"/>
        <family val="1"/>
      </rPr>
      <t xml:space="preserve"> 9 flows </t>
    </r>
  </si>
  <si>
    <t xml:space="preserve">                                           Mean Delays (ms) delay link =20ms</t>
  </si>
  <si>
    <t xml:space="preserve">                                           Mean Delays (ms) delay link =2ms</t>
  </si>
  <si>
    <t>Fairness</t>
  </si>
  <si>
    <t xml:space="preserve">                                                    Loss Ratio (%) link =20ms</t>
  </si>
  <si>
    <t xml:space="preserve">                                                    Loss Ratio (%) link =2ms</t>
  </si>
  <si>
    <t>Overall throughput</t>
  </si>
  <si>
    <r>
      <t xml:space="preserve">                                                                  </t>
    </r>
    <r>
      <rPr>
        <b/>
        <i/>
        <sz val="14"/>
        <color theme="1"/>
        <rFont val="Times New Roman"/>
        <family val="1"/>
      </rPr>
      <t>Throughput (Mbps)(Delay link =2ms)</t>
    </r>
  </si>
  <si>
    <t>5,24</t>
  </si>
  <si>
    <t>3,43</t>
  </si>
  <si>
    <t>1,23</t>
  </si>
  <si>
    <t>2,48</t>
  </si>
  <si>
    <t>2,63</t>
  </si>
  <si>
    <t>0,1</t>
  </si>
  <si>
    <t>1,02</t>
  </si>
  <si>
    <t>2,82</t>
  </si>
  <si>
    <t>0,09</t>
  </si>
  <si>
    <t>4,28</t>
  </si>
  <si>
    <t>6,08</t>
  </si>
  <si>
    <t>0,92</t>
  </si>
  <si>
    <t>1,71</t>
  </si>
  <si>
    <t>1,32</t>
  </si>
  <si>
    <t>0,07</t>
  </si>
  <si>
    <t>1,15</t>
  </si>
  <si>
    <t>1,11</t>
  </si>
  <si>
    <t>0,06</t>
  </si>
  <si>
    <t>1,42</t>
  </si>
  <si>
    <t>2,1</t>
  </si>
  <si>
    <t>0,21</t>
  </si>
  <si>
    <t>1,05</t>
  </si>
  <si>
    <t>0,12</t>
  </si>
  <si>
    <t>1,82</t>
  </si>
  <si>
    <t>1,8</t>
  </si>
  <si>
    <t>0,13</t>
  </si>
  <si>
    <t>1,19</t>
  </si>
  <si>
    <t>0,79</t>
  </si>
  <si>
    <t>2,07</t>
  </si>
  <si>
    <t>1,66</t>
  </si>
  <si>
    <t>0,61</t>
  </si>
  <si>
    <t>1,2</t>
  </si>
  <si>
    <t>0,81</t>
  </si>
  <si>
    <t>0,96</t>
  </si>
  <si>
    <t>0,05</t>
  </si>
  <si>
    <t>0,57</t>
  </si>
  <si>
    <t>0,98</t>
  </si>
  <si>
    <t>0,68</t>
  </si>
  <si>
    <t>1,08</t>
  </si>
  <si>
    <t>0,7</t>
  </si>
  <si>
    <t>0,99</t>
  </si>
  <si>
    <t>0,93</t>
  </si>
  <si>
    <t>0,97</t>
  </si>
  <si>
    <t>0,95</t>
  </si>
  <si>
    <t>0,56</t>
  </si>
  <si>
    <t>0,73</t>
  </si>
  <si>
    <t>9,52</t>
  </si>
  <si>
    <t>9,51</t>
  </si>
  <si>
    <t>2,15</t>
  </si>
  <si>
    <t>9,5</t>
  </si>
  <si>
    <t>1,12</t>
  </si>
  <si>
    <t>9,48</t>
  </si>
  <si>
    <t>9,49</t>
  </si>
  <si>
    <t>1,58</t>
  </si>
  <si>
    <t>Jain’s fairness index at 2 ms delay</t>
  </si>
  <si>
    <t>Jain’s fairness index at 20 ms 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</si>
</sst>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i/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i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/>
    <xf numFmtId="0" fontId="1" fillId="0" borderId="1" xfId="0" applyFont="1" applyBorder="1"/>
    <xf numFmtId="0" fontId="1" fillId="0" borderId="1" xfId="0" applyFont="1" applyBorder="1"/>
    <xf numFmtId="0" fontId="1" fillId="0" borderId="1" xfId="0" applyFont="1" applyBorder="1" applyAlignment="1"/>
    <xf numFmtId="0" fontId="1" fillId="0" borderId="0" xfId="0" applyFont="1" applyAlignment="1"/>
    <xf numFmtId="0" fontId="2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effectLst/>
              </a:rPr>
              <a:t>Average throughput per flow (Mbps) at 20 ms delay</a:t>
            </a:r>
            <a:endParaRPr lang="en-ZA" sz="12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'[1]Results and graphs'!$C$4</c:f>
              <c:strCache>
                <c:ptCount val="1"/>
                <c:pt idx="0">
                  <c:v>Cubic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'[1]Results and graphs'!$B$5:$B$7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9</c:v>
                </c:pt>
              </c:numCache>
            </c:numRef>
          </c:cat>
          <c:val>
            <c:numRef>
              <c:f>'[1]Results and graphs'!$C$5:$C$7</c:f>
              <c:numCache>
                <c:formatCode>General</c:formatCode>
                <c:ptCount val="3"/>
                <c:pt idx="0">
                  <c:v>4.53</c:v>
                </c:pt>
                <c:pt idx="1">
                  <c:v>1.65</c:v>
                </c:pt>
                <c:pt idx="2">
                  <c:v>0.86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07-4B1A-9A5F-1F65E07CDCD5}"/>
            </c:ext>
          </c:extLst>
        </c:ser>
        <c:ser>
          <c:idx val="1"/>
          <c:order val="1"/>
          <c:tx>
            <c:strRef>
              <c:f>'[1]Results and graphs'!$D$4</c:f>
              <c:strCache>
                <c:ptCount val="1"/>
                <c:pt idx="0">
                  <c:v>High-Speed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'[1]Results and graphs'!$B$5:$B$7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9</c:v>
                </c:pt>
              </c:numCache>
            </c:numRef>
          </c:cat>
          <c:val>
            <c:numRef>
              <c:f>'[1]Results and graphs'!$D$5:$D$7</c:f>
              <c:numCache>
                <c:formatCode>General</c:formatCode>
                <c:ptCount val="3"/>
                <c:pt idx="0">
                  <c:v>4.54</c:v>
                </c:pt>
                <c:pt idx="1">
                  <c:v>1.7</c:v>
                </c:pt>
                <c:pt idx="2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07-4B1A-9A5F-1F65E07CDCD5}"/>
            </c:ext>
          </c:extLst>
        </c:ser>
        <c:ser>
          <c:idx val="2"/>
          <c:order val="2"/>
          <c:tx>
            <c:strRef>
              <c:f>'[1]Results and graphs'!$E$4</c:f>
              <c:strCache>
                <c:ptCount val="1"/>
                <c:pt idx="0">
                  <c:v>BBR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'[1]Results and graphs'!$B$5:$B$7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9</c:v>
                </c:pt>
              </c:numCache>
            </c:numRef>
          </c:cat>
          <c:val>
            <c:numRef>
              <c:f>'[1]Results and graphs'!$E$5:$E$7</c:f>
              <c:numCache>
                <c:formatCode>General</c:formatCode>
                <c:ptCount val="3"/>
                <c:pt idx="0">
                  <c:v>4.4000000000000004</c:v>
                </c:pt>
                <c:pt idx="1">
                  <c:v>1.65</c:v>
                </c:pt>
                <c:pt idx="2">
                  <c:v>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07-4B1A-9A5F-1F65E07CDCD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86987928"/>
        <c:axId val="361462880"/>
      </c:barChart>
      <c:catAx>
        <c:axId val="586987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462880"/>
        <c:crosses val="autoZero"/>
        <c:auto val="1"/>
        <c:lblAlgn val="ctr"/>
        <c:lblOffset val="100"/>
        <c:noMultiLvlLbl val="0"/>
      </c:catAx>
      <c:valAx>
        <c:axId val="36146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987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Mean end-to-end delay (ms) at 20 ms delay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'[1]Results and graphs'!$C$10</c:f>
              <c:strCache>
                <c:ptCount val="1"/>
                <c:pt idx="0">
                  <c:v>Cubic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'[1]Results and graphs'!$B$11:$B$13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9</c:v>
                </c:pt>
              </c:numCache>
            </c:numRef>
          </c:cat>
          <c:val>
            <c:numRef>
              <c:f>'[1]Results and graphs'!$C$11:$C$13</c:f>
              <c:numCache>
                <c:formatCode>General</c:formatCode>
                <c:ptCount val="3"/>
                <c:pt idx="0">
                  <c:v>344.66</c:v>
                </c:pt>
                <c:pt idx="1">
                  <c:v>356.49</c:v>
                </c:pt>
                <c:pt idx="2">
                  <c:v>365.86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8-4739-A943-4D44EE3DDDCF}"/>
            </c:ext>
          </c:extLst>
        </c:ser>
        <c:ser>
          <c:idx val="1"/>
          <c:order val="1"/>
          <c:tx>
            <c:strRef>
              <c:f>'[1]Results and graphs'!$D$10</c:f>
              <c:strCache>
                <c:ptCount val="1"/>
                <c:pt idx="0">
                  <c:v>High-Speed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'[1]Results and graphs'!$B$11:$B$13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9</c:v>
                </c:pt>
              </c:numCache>
            </c:numRef>
          </c:cat>
          <c:val>
            <c:numRef>
              <c:f>'[1]Results and graphs'!$D$11:$D$13</c:f>
              <c:numCache>
                <c:formatCode>General</c:formatCode>
                <c:ptCount val="3"/>
                <c:pt idx="0">
                  <c:v>326.97000000000003</c:v>
                </c:pt>
                <c:pt idx="1">
                  <c:v>334.11</c:v>
                </c:pt>
                <c:pt idx="2">
                  <c:v>334.31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B8-4739-A943-4D44EE3DDDCF}"/>
            </c:ext>
          </c:extLst>
        </c:ser>
        <c:ser>
          <c:idx val="2"/>
          <c:order val="2"/>
          <c:tx>
            <c:strRef>
              <c:f>'[1]Results and graphs'!$E$10</c:f>
              <c:strCache>
                <c:ptCount val="1"/>
                <c:pt idx="0">
                  <c:v>BBR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'[1]Results and graphs'!$B$11:$B$13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9</c:v>
                </c:pt>
              </c:numCache>
            </c:numRef>
          </c:cat>
          <c:val>
            <c:numRef>
              <c:f>'[1]Results and graphs'!$E$11:$E$13</c:f>
              <c:numCache>
                <c:formatCode>General</c:formatCode>
                <c:ptCount val="3"/>
                <c:pt idx="0">
                  <c:v>191.86</c:v>
                </c:pt>
                <c:pt idx="1">
                  <c:v>235.01</c:v>
                </c:pt>
                <c:pt idx="2">
                  <c:v>257.32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B8-4739-A943-4D44EE3DDDC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97443944"/>
        <c:axId val="697444664"/>
      </c:barChart>
      <c:catAx>
        <c:axId val="697443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44664"/>
        <c:crosses val="autoZero"/>
        <c:auto val="1"/>
        <c:lblAlgn val="ctr"/>
        <c:lblOffset val="100"/>
        <c:noMultiLvlLbl val="0"/>
      </c:catAx>
      <c:valAx>
        <c:axId val="697444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43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Packet loss ratio (%) at 20 ms delay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527495312233225E-2"/>
          <c:y val="0.14488281250000001"/>
          <c:w val="0.90947250468776675"/>
          <c:h val="0.675143024114173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'[1]Results and graphs'!$C$17</c:f>
              <c:strCache>
                <c:ptCount val="1"/>
                <c:pt idx="0">
                  <c:v>Cubic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'[1]Results and graphs'!$B$18:$B$20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9</c:v>
                </c:pt>
              </c:numCache>
            </c:numRef>
          </c:cat>
          <c:val>
            <c:numRef>
              <c:f>'[1]Results and graphs'!$C$18:$C$20</c:f>
              <c:numCache>
                <c:formatCode>General</c:formatCode>
                <c:ptCount val="3"/>
                <c:pt idx="0">
                  <c:v>0.7</c:v>
                </c:pt>
                <c:pt idx="1">
                  <c:v>1.25</c:v>
                </c:pt>
                <c:pt idx="2">
                  <c:v>1.36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A-42C5-8E7C-BF197FDC8695}"/>
            </c:ext>
          </c:extLst>
        </c:ser>
        <c:ser>
          <c:idx val="1"/>
          <c:order val="1"/>
          <c:tx>
            <c:strRef>
              <c:f>'[1]Results and graphs'!$D$17</c:f>
              <c:strCache>
                <c:ptCount val="1"/>
                <c:pt idx="0">
                  <c:v>High-Speed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'[1]Results and graphs'!$B$18:$B$20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9</c:v>
                </c:pt>
              </c:numCache>
            </c:numRef>
          </c:cat>
          <c:val>
            <c:numRef>
              <c:f>'[1]Results and graphs'!$D$18:$D$20</c:f>
              <c:numCache>
                <c:formatCode>General</c:formatCode>
                <c:ptCount val="3"/>
                <c:pt idx="0">
                  <c:v>0.57999999999999996</c:v>
                </c:pt>
                <c:pt idx="1">
                  <c:v>0.85</c:v>
                </c:pt>
                <c:pt idx="2">
                  <c:v>0.93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5A-42C5-8E7C-BF197FDC8695}"/>
            </c:ext>
          </c:extLst>
        </c:ser>
        <c:ser>
          <c:idx val="2"/>
          <c:order val="2"/>
          <c:tx>
            <c:strRef>
              <c:f>'[1]Results and graphs'!$E$17</c:f>
              <c:strCache>
                <c:ptCount val="1"/>
                <c:pt idx="0">
                  <c:v>BBR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'[1]Results and graphs'!$B$18:$B$20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9</c:v>
                </c:pt>
              </c:numCache>
            </c:numRef>
          </c:cat>
          <c:val>
            <c:numRef>
              <c:f>'[1]Results and graphs'!$E$18:$E$20</c:f>
              <c:numCache>
                <c:formatCode>General</c:formatCode>
                <c:ptCount val="3"/>
                <c:pt idx="0">
                  <c:v>0.2</c:v>
                </c:pt>
                <c:pt idx="1">
                  <c:v>0.34</c:v>
                </c:pt>
                <c:pt idx="2">
                  <c:v>0.93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5A-42C5-8E7C-BF197FDC869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98432376"/>
        <c:axId val="698432736"/>
      </c:barChart>
      <c:catAx>
        <c:axId val="698432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432736"/>
        <c:crosses val="autoZero"/>
        <c:auto val="1"/>
        <c:lblAlgn val="ctr"/>
        <c:lblOffset val="100"/>
        <c:noMultiLvlLbl val="0"/>
      </c:catAx>
      <c:valAx>
        <c:axId val="69843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432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100" b="1" i="0" u="none" strike="noStrike" baseline="0">
                <a:effectLst/>
              </a:rPr>
              <a:t>Average throughput per flow (Mbps) at 2 ms delay</a:t>
            </a:r>
            <a:endParaRPr lang="en-US" sz="10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'[1]Results and graphs'!$J$4</c:f>
              <c:strCache>
                <c:ptCount val="1"/>
                <c:pt idx="0">
                  <c:v>Cubic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'[1]Results and graphs'!$I$5:$I$7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9</c:v>
                </c:pt>
              </c:numCache>
            </c:numRef>
          </c:cat>
          <c:val>
            <c:numRef>
              <c:f>'[1]Results and graphs'!$J$5:$J$7</c:f>
              <c:numCache>
                <c:formatCode>General</c:formatCode>
                <c:ptCount val="3"/>
                <c:pt idx="0">
                  <c:v>4.76</c:v>
                </c:pt>
                <c:pt idx="1">
                  <c:v>1.9</c:v>
                </c:pt>
                <c:pt idx="2">
                  <c:v>1.05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7A-4BDB-8092-D794743B6A0D}"/>
            </c:ext>
          </c:extLst>
        </c:ser>
        <c:ser>
          <c:idx val="1"/>
          <c:order val="1"/>
          <c:tx>
            <c:strRef>
              <c:f>'[1]Results and graphs'!$K$4</c:f>
              <c:strCache>
                <c:ptCount val="1"/>
                <c:pt idx="0">
                  <c:v>High-Speed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'[1]Results and graphs'!$I$5:$I$7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9</c:v>
                </c:pt>
              </c:numCache>
            </c:numRef>
          </c:cat>
          <c:val>
            <c:numRef>
              <c:f>'[1]Results and graphs'!$K$5:$K$7</c:f>
              <c:numCache>
                <c:formatCode>General</c:formatCode>
                <c:ptCount val="3"/>
                <c:pt idx="0">
                  <c:v>4.75</c:v>
                </c:pt>
                <c:pt idx="1">
                  <c:v>1.9</c:v>
                </c:pt>
                <c:pt idx="2">
                  <c:v>1.05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7A-4BDB-8092-D794743B6A0D}"/>
            </c:ext>
          </c:extLst>
        </c:ser>
        <c:ser>
          <c:idx val="2"/>
          <c:order val="2"/>
          <c:tx>
            <c:strRef>
              <c:f>'[1]Results and graphs'!$L$4</c:f>
              <c:strCache>
                <c:ptCount val="1"/>
                <c:pt idx="0">
                  <c:v>BBR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'[1]Results and graphs'!$I$5:$I$7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9</c:v>
                </c:pt>
              </c:numCache>
            </c:numRef>
          </c:cat>
          <c:val>
            <c:numRef>
              <c:f>'[1]Results and graphs'!$L$5:$L$7</c:f>
              <c:numCache>
                <c:formatCode>General</c:formatCode>
                <c:ptCount val="3"/>
                <c:pt idx="0">
                  <c:v>1.07</c:v>
                </c:pt>
                <c:pt idx="1">
                  <c:v>0.22</c:v>
                </c:pt>
                <c:pt idx="2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7A-4BDB-8092-D794743B6A0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72764624"/>
        <c:axId val="1172760048"/>
      </c:barChart>
      <c:catAx>
        <c:axId val="117276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760048"/>
        <c:crosses val="autoZero"/>
        <c:auto val="1"/>
        <c:lblAlgn val="ctr"/>
        <c:lblOffset val="100"/>
        <c:noMultiLvlLbl val="0"/>
      </c:catAx>
      <c:valAx>
        <c:axId val="117276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76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effectLst/>
              </a:rPr>
              <a:t>Mean end-to-end delay (ms) at 2 ms delay</a:t>
            </a:r>
            <a:endParaRPr lang="en-US" sz="12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'[1]Results and graphs'!$J$10</c:f>
              <c:strCache>
                <c:ptCount val="1"/>
                <c:pt idx="0">
                  <c:v>Cubic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'[1]Results and graphs'!$I$11:$I$13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9</c:v>
                </c:pt>
              </c:numCache>
            </c:numRef>
          </c:cat>
          <c:val>
            <c:numRef>
              <c:f>'[1]Results and graphs'!$J$11:$J$13</c:f>
              <c:numCache>
                <c:formatCode>General</c:formatCode>
                <c:ptCount val="3"/>
                <c:pt idx="0">
                  <c:v>305.62</c:v>
                </c:pt>
                <c:pt idx="1">
                  <c:v>324.45999999999998</c:v>
                </c:pt>
                <c:pt idx="2">
                  <c:v>335.08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79-4DF7-B4B6-687C1227F9F2}"/>
            </c:ext>
          </c:extLst>
        </c:ser>
        <c:ser>
          <c:idx val="1"/>
          <c:order val="1"/>
          <c:tx>
            <c:strRef>
              <c:f>'[1]Results and graphs'!$K$10</c:f>
              <c:strCache>
                <c:ptCount val="1"/>
                <c:pt idx="0">
                  <c:v>High-Speed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'[1]Results and graphs'!$I$11:$I$13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9</c:v>
                </c:pt>
              </c:numCache>
            </c:numRef>
          </c:cat>
          <c:val>
            <c:numRef>
              <c:f>'[1]Results and graphs'!$K$11:$K$13</c:f>
              <c:numCache>
                <c:formatCode>General</c:formatCode>
                <c:ptCount val="3"/>
                <c:pt idx="0">
                  <c:v>301.29000000000002</c:v>
                </c:pt>
                <c:pt idx="1">
                  <c:v>296.94</c:v>
                </c:pt>
                <c:pt idx="2">
                  <c:v>304.55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79-4DF7-B4B6-687C1227F9F2}"/>
            </c:ext>
          </c:extLst>
        </c:ser>
        <c:ser>
          <c:idx val="2"/>
          <c:order val="2"/>
          <c:tx>
            <c:strRef>
              <c:f>'[1]Results and graphs'!$L$10</c:f>
              <c:strCache>
                <c:ptCount val="1"/>
                <c:pt idx="0">
                  <c:v>BBR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'[1]Results and graphs'!$I$11:$I$13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9</c:v>
                </c:pt>
              </c:numCache>
            </c:numRef>
          </c:cat>
          <c:val>
            <c:numRef>
              <c:f>'[1]Results and graphs'!$L$11:$L$13</c:f>
              <c:numCache>
                <c:formatCode>General</c:formatCode>
                <c:ptCount val="3"/>
                <c:pt idx="0">
                  <c:v>27.93</c:v>
                </c:pt>
                <c:pt idx="1">
                  <c:v>128.82</c:v>
                </c:pt>
                <c:pt idx="2">
                  <c:v>161.41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79-4DF7-B4B6-687C1227F9F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72765040"/>
        <c:axId val="1172766288"/>
      </c:barChart>
      <c:catAx>
        <c:axId val="117276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766288"/>
        <c:crosses val="autoZero"/>
        <c:auto val="1"/>
        <c:lblAlgn val="ctr"/>
        <c:lblOffset val="100"/>
        <c:noMultiLvlLbl val="0"/>
      </c:catAx>
      <c:valAx>
        <c:axId val="117276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76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 b="1">
                <a:effectLst/>
              </a:rPr>
              <a:t>Packet loss ratio (%) at 2 ms delay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'[1]Results and graphs'!$J$17</c:f>
              <c:strCache>
                <c:ptCount val="1"/>
                <c:pt idx="0">
                  <c:v>Cubic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'[1]Results and graphs'!$I$18:$I$20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9</c:v>
                </c:pt>
              </c:numCache>
            </c:numRef>
          </c:cat>
          <c:val>
            <c:numRef>
              <c:f>'[1]Results and graphs'!$J$18:$J$20</c:f>
              <c:numCache>
                <c:formatCode>General</c:formatCode>
                <c:ptCount val="3"/>
                <c:pt idx="0">
                  <c:v>0.39</c:v>
                </c:pt>
                <c:pt idx="1">
                  <c:v>0.8</c:v>
                </c:pt>
                <c:pt idx="2">
                  <c:v>1.1599999999999999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36-4855-89F2-F027B98B8A88}"/>
            </c:ext>
          </c:extLst>
        </c:ser>
        <c:ser>
          <c:idx val="1"/>
          <c:order val="1"/>
          <c:tx>
            <c:strRef>
              <c:f>'[1]Results and graphs'!$K$17</c:f>
              <c:strCache>
                <c:ptCount val="1"/>
                <c:pt idx="0">
                  <c:v>High-Speed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'[1]Results and graphs'!$I$18:$I$20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9</c:v>
                </c:pt>
              </c:numCache>
            </c:numRef>
          </c:cat>
          <c:val>
            <c:numRef>
              <c:f>'[1]Results and graphs'!$K$18:$K$20</c:f>
              <c:numCache>
                <c:formatCode>General</c:formatCode>
                <c:ptCount val="3"/>
                <c:pt idx="0">
                  <c:v>0.76</c:v>
                </c:pt>
                <c:pt idx="1">
                  <c:v>0.68</c:v>
                </c:pt>
                <c:pt idx="2">
                  <c:v>0.96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36-4855-89F2-F027B98B8A88}"/>
            </c:ext>
          </c:extLst>
        </c:ser>
        <c:ser>
          <c:idx val="2"/>
          <c:order val="2"/>
          <c:tx>
            <c:strRef>
              <c:f>'[1]Results and graphs'!$L$17</c:f>
              <c:strCache>
                <c:ptCount val="1"/>
                <c:pt idx="0">
                  <c:v>BBR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'[1]Results and graphs'!$I$18:$I$20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9</c:v>
                </c:pt>
              </c:numCache>
            </c:numRef>
          </c:cat>
          <c:val>
            <c:numRef>
              <c:f>'[1]Results and graphs'!$L$18:$L$20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4.87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36-4855-89F2-F027B98B8A8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67153920"/>
        <c:axId val="1167155584"/>
      </c:barChart>
      <c:catAx>
        <c:axId val="116715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155584"/>
        <c:crosses val="autoZero"/>
        <c:auto val="1"/>
        <c:lblAlgn val="ctr"/>
        <c:lblOffset val="100"/>
        <c:noMultiLvlLbl val="0"/>
      </c:catAx>
      <c:valAx>
        <c:axId val="116715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15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Jain’s fairness index at 2 ms delay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'[1]Results and graphs'!$Y$36</c:f>
              <c:strCache>
                <c:ptCount val="1"/>
                <c:pt idx="0">
                  <c:v>Cubic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'[1]Results and graphs'!$X$37:$X$39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9</c:v>
                </c:pt>
              </c:numCache>
            </c:numRef>
          </c:cat>
          <c:val>
            <c:numRef>
              <c:f>'[1]Results and graphs'!$Y$37:$Y$39</c:f>
              <c:numCache>
                <c:formatCode>General</c:formatCode>
                <c:ptCount val="3"/>
                <c:pt idx="0">
                  <c:v>0.99</c:v>
                </c:pt>
                <c:pt idx="1">
                  <c:v>0.97</c:v>
                </c:pt>
                <c:pt idx="2">
                  <c:v>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40-4A1B-A231-90BF6D2F8A06}"/>
            </c:ext>
          </c:extLst>
        </c:ser>
        <c:ser>
          <c:idx val="1"/>
          <c:order val="1"/>
          <c:tx>
            <c:strRef>
              <c:f>'[1]Results and graphs'!$Z$36</c:f>
              <c:strCache>
                <c:ptCount val="1"/>
                <c:pt idx="0">
                  <c:v>High-Speed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'[1]Results and graphs'!$X$37:$X$39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9</c:v>
                </c:pt>
              </c:numCache>
            </c:numRef>
          </c:cat>
          <c:val>
            <c:numRef>
              <c:f>'[1]Results and graphs'!$Z$37:$Z$39</c:f>
              <c:numCache>
                <c:formatCode>General</c:formatCode>
                <c:ptCount val="3"/>
                <c:pt idx="0">
                  <c:v>0.93</c:v>
                </c:pt>
                <c:pt idx="1">
                  <c:v>0.95</c:v>
                </c:pt>
                <c:pt idx="2">
                  <c:v>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40-4A1B-A231-90BF6D2F8A06}"/>
            </c:ext>
          </c:extLst>
        </c:ser>
        <c:ser>
          <c:idx val="2"/>
          <c:order val="2"/>
          <c:tx>
            <c:strRef>
              <c:f>'[1]Results and graphs'!$AA$36</c:f>
              <c:strCache>
                <c:ptCount val="1"/>
                <c:pt idx="0">
                  <c:v>BBR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'[1]Results and graphs'!$X$37:$X$39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9</c:v>
                </c:pt>
              </c:numCache>
            </c:numRef>
          </c:cat>
          <c:val>
            <c:numRef>
              <c:f>'[1]Results and graphs'!$AA$37:$AA$39</c:f>
              <c:numCache>
                <c:formatCode>General</c:formatCode>
                <c:ptCount val="3"/>
                <c:pt idx="0">
                  <c:v>0.98</c:v>
                </c:pt>
                <c:pt idx="1">
                  <c:v>0.56000000000000005</c:v>
                </c:pt>
                <c:pt idx="2">
                  <c:v>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40-4A1B-A231-90BF6D2F8A0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67136864"/>
        <c:axId val="1167138528"/>
      </c:barChart>
      <c:catAx>
        <c:axId val="116713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138528"/>
        <c:crosses val="autoZero"/>
        <c:auto val="1"/>
        <c:lblAlgn val="ctr"/>
        <c:lblOffset val="100"/>
        <c:noMultiLvlLbl val="0"/>
      </c:catAx>
      <c:valAx>
        <c:axId val="116713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13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Jain’s fairness index at 20 ms delay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'[1]Results and graphs'!$Z$44</c:f>
              <c:strCache>
                <c:ptCount val="1"/>
                <c:pt idx="0">
                  <c:v>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'[1]Results and graphs'!$AA$43:$AC$43</c:f>
              <c:strCache>
                <c:ptCount val="3"/>
                <c:pt idx="0">
                  <c:v>Cubic</c:v>
                </c:pt>
                <c:pt idx="1">
                  <c:v>High-Speed</c:v>
                </c:pt>
                <c:pt idx="2">
                  <c:v>BBR</c:v>
                </c:pt>
              </c:strCache>
            </c:strRef>
          </c:cat>
          <c:val>
            <c:numRef>
              <c:f>'[1]Results and graphs'!$AA$44:$AC$44</c:f>
              <c:numCache>
                <c:formatCode>General</c:formatCode>
                <c:ptCount val="3"/>
                <c:pt idx="0">
                  <c:v>1</c:v>
                </c:pt>
                <c:pt idx="1">
                  <c:v>0.97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E4-4E68-A7F1-5BEBB340B4DC}"/>
            </c:ext>
          </c:extLst>
        </c:ser>
        <c:ser>
          <c:idx val="1"/>
          <c:order val="1"/>
          <c:tx>
            <c:strRef>
              <c:f>'[1]Results and graphs'!$Z$45</c:f>
              <c:strCache>
                <c:ptCount val="1"/>
                <c:pt idx="0">
                  <c:v>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'[1]Results and graphs'!$AA$43:$AC$43</c:f>
              <c:strCache>
                <c:ptCount val="3"/>
                <c:pt idx="0">
                  <c:v>Cubic</c:v>
                </c:pt>
                <c:pt idx="1">
                  <c:v>High-Speed</c:v>
                </c:pt>
                <c:pt idx="2">
                  <c:v>BBR</c:v>
                </c:pt>
              </c:strCache>
            </c:strRef>
          </c:cat>
          <c:val>
            <c:numRef>
              <c:f>'[1]Results and graphs'!$AA$45:$AC$45</c:f>
              <c:numCache>
                <c:formatCode>General</c:formatCode>
                <c:ptCount val="3"/>
                <c:pt idx="0">
                  <c:v>0.97</c:v>
                </c:pt>
                <c:pt idx="1">
                  <c:v>0.98</c:v>
                </c:pt>
                <c:pt idx="2">
                  <c:v>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E4-4E68-A7F1-5BEBB340B4DC}"/>
            </c:ext>
          </c:extLst>
        </c:ser>
        <c:ser>
          <c:idx val="2"/>
          <c:order val="2"/>
          <c:tx>
            <c:strRef>
              <c:f>'[1]Results and graphs'!$Z$46</c:f>
              <c:strCache>
                <c:ptCount val="1"/>
                <c:pt idx="0">
                  <c:v>9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'[1]Results and graphs'!$AA$43:$AC$43</c:f>
              <c:strCache>
                <c:ptCount val="3"/>
                <c:pt idx="0">
                  <c:v>Cubic</c:v>
                </c:pt>
                <c:pt idx="1">
                  <c:v>High-Speed</c:v>
                </c:pt>
                <c:pt idx="2">
                  <c:v>BBR</c:v>
                </c:pt>
              </c:strCache>
            </c:strRef>
          </c:cat>
          <c:val>
            <c:numRef>
              <c:f>'[1]Results and graphs'!$AA$46:$AC$46</c:f>
              <c:numCache>
                <c:formatCode>General</c:formatCode>
                <c:ptCount val="3"/>
                <c:pt idx="0">
                  <c:v>0.92</c:v>
                </c:pt>
                <c:pt idx="1">
                  <c:v>0.9</c:v>
                </c:pt>
                <c:pt idx="2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E4-4E68-A7F1-5BEBB340B4D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63160080"/>
        <c:axId val="963149264"/>
      </c:barChart>
      <c:catAx>
        <c:axId val="96316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149264"/>
        <c:crosses val="autoZero"/>
        <c:auto val="1"/>
        <c:lblAlgn val="ctr"/>
        <c:lblOffset val="100"/>
        <c:noMultiLvlLbl val="0"/>
      </c:catAx>
      <c:valAx>
        <c:axId val="96314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16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481465</xdr:colOff>
      <xdr:row>29</xdr:row>
      <xdr:rowOff>229157</xdr:rowOff>
    </xdr:from>
    <xdr:to>
      <xdr:col>4</xdr:col>
      <xdr:colOff>953963</xdr:colOff>
      <xdr:row>44</xdr:row>
      <xdr:rowOff>78572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E9B608-9CBD-79E0-B50E-11F5477657E9}"/>
            </a:ext>
            <a:ext uri="{C183D7F6-B498-43B3-948B-1728B52AA6E4}">
              <adec:decorative xmlns:adec="http://schemas.microsoft.com/office/drawing/2017/decorative" xmlns="" val="1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99004</xdr:colOff>
      <xdr:row>29</xdr:row>
      <xdr:rowOff>219362</xdr:rowOff>
    </xdr:from>
    <xdr:to>
      <xdr:col>9</xdr:col>
      <xdr:colOff>611910</xdr:colOff>
      <xdr:row>44</xdr:row>
      <xdr:rowOff>69273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4720C7-2393-2525-3D4A-14FCC84129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731940</xdr:colOff>
      <xdr:row>29</xdr:row>
      <xdr:rowOff>207838</xdr:rowOff>
    </xdr:from>
    <xdr:to>
      <xdr:col>15</xdr:col>
      <xdr:colOff>441572</xdr:colOff>
      <xdr:row>44</xdr:row>
      <xdr:rowOff>53129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DB72C3-0765-1EF3-E8D1-9EE7E18E66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476419</xdr:colOff>
      <xdr:row>45</xdr:row>
      <xdr:rowOff>18269</xdr:rowOff>
    </xdr:from>
    <xdr:to>
      <xdr:col>4</xdr:col>
      <xdr:colOff>946727</xdr:colOff>
      <xdr:row>57</xdr:row>
      <xdr:rowOff>80818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86591</xdr:colOff>
      <xdr:row>45</xdr:row>
      <xdr:rowOff>11546</xdr:rowOff>
    </xdr:from>
    <xdr:to>
      <xdr:col>9</xdr:col>
      <xdr:colOff>588818</xdr:colOff>
      <xdr:row>57</xdr:row>
      <xdr:rowOff>115455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710045</xdr:colOff>
      <xdr:row>44</xdr:row>
      <xdr:rowOff>215901</xdr:rowOff>
    </xdr:from>
    <xdr:to>
      <xdr:col>15</xdr:col>
      <xdr:colOff>427181</xdr:colOff>
      <xdr:row>57</xdr:row>
      <xdr:rowOff>69273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86590</xdr:colOff>
      <xdr:row>58</xdr:row>
      <xdr:rowOff>8081</xdr:rowOff>
    </xdr:from>
    <xdr:to>
      <xdr:col>9</xdr:col>
      <xdr:colOff>496455</xdr:colOff>
      <xdr:row>70</xdr:row>
      <xdr:rowOff>207820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710046</xdr:colOff>
      <xdr:row>58</xdr:row>
      <xdr:rowOff>31172</xdr:rowOff>
    </xdr:from>
    <xdr:to>
      <xdr:col>15</xdr:col>
      <xdr:colOff>450273</xdr:colOff>
      <xdr:row>70</xdr:row>
      <xdr:rowOff>219364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lori/OneDrive/Gloris/COURSES/WSB%20MERITO/Semester%202/Thesis/copy/New%20folder/Final%20results.%20glor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 and graphs"/>
    </sheetNames>
    <sheetDataSet>
      <sheetData sheetId="0">
        <row r="4">
          <cell r="C4" t="str">
            <v>Cubic</v>
          </cell>
          <cell r="D4" t="str">
            <v>High-Speed</v>
          </cell>
          <cell r="E4" t="str">
            <v>BBR</v>
          </cell>
          <cell r="J4" t="str">
            <v>Cubic</v>
          </cell>
          <cell r="K4" t="str">
            <v>High-Speed</v>
          </cell>
          <cell r="L4" t="str">
            <v>BBR</v>
          </cell>
        </row>
        <row r="5">
          <cell r="B5">
            <v>2</v>
          </cell>
          <cell r="C5">
            <v>4.53</v>
          </cell>
          <cell r="D5">
            <v>4.54</v>
          </cell>
          <cell r="E5">
            <v>4.4000000000000004</v>
          </cell>
          <cell r="I5">
            <v>2</v>
          </cell>
          <cell r="J5">
            <v>4.76</v>
          </cell>
          <cell r="K5">
            <v>4.75</v>
          </cell>
          <cell r="L5">
            <v>1.07</v>
          </cell>
        </row>
        <row r="6">
          <cell r="B6">
            <v>5</v>
          </cell>
          <cell r="C6">
            <v>1.65</v>
          </cell>
          <cell r="D6">
            <v>1.7</v>
          </cell>
          <cell r="E6">
            <v>1.65</v>
          </cell>
          <cell r="I6">
            <v>5</v>
          </cell>
          <cell r="J6">
            <v>1.9</v>
          </cell>
          <cell r="K6">
            <v>1.9</v>
          </cell>
          <cell r="L6">
            <v>0.22</v>
          </cell>
        </row>
        <row r="7">
          <cell r="B7">
            <v>9</v>
          </cell>
          <cell r="C7">
            <v>0.86</v>
          </cell>
          <cell r="D7">
            <v>0.85</v>
          </cell>
          <cell r="E7">
            <v>0.84</v>
          </cell>
          <cell r="I7">
            <v>9</v>
          </cell>
          <cell r="J7">
            <v>1.05</v>
          </cell>
          <cell r="K7">
            <v>1.05</v>
          </cell>
          <cell r="L7">
            <v>7.0000000000000007E-2</v>
          </cell>
        </row>
        <row r="10">
          <cell r="C10" t="str">
            <v>Cubic</v>
          </cell>
          <cell r="D10" t="str">
            <v>High-Speed</v>
          </cell>
          <cell r="E10" t="str">
            <v>BBR</v>
          </cell>
          <cell r="J10" t="str">
            <v>Cubic</v>
          </cell>
          <cell r="K10" t="str">
            <v>High-Speed</v>
          </cell>
          <cell r="L10" t="str">
            <v>BBR</v>
          </cell>
        </row>
        <row r="11">
          <cell r="B11">
            <v>2</v>
          </cell>
          <cell r="C11">
            <v>344.66</v>
          </cell>
          <cell r="D11">
            <v>326.97000000000003</v>
          </cell>
          <cell r="E11">
            <v>191.86</v>
          </cell>
          <cell r="I11">
            <v>2</v>
          </cell>
          <cell r="J11">
            <v>305.62</v>
          </cell>
          <cell r="K11">
            <v>301.29000000000002</v>
          </cell>
          <cell r="L11">
            <v>27.93</v>
          </cell>
        </row>
        <row r="12">
          <cell r="B12">
            <v>5</v>
          </cell>
          <cell r="C12">
            <v>356.49</v>
          </cell>
          <cell r="D12">
            <v>334.11</v>
          </cell>
          <cell r="E12">
            <v>235.01</v>
          </cell>
          <cell r="I12">
            <v>5</v>
          </cell>
          <cell r="J12">
            <v>324.45999999999998</v>
          </cell>
          <cell r="K12">
            <v>296.94</v>
          </cell>
          <cell r="L12">
            <v>128.82</v>
          </cell>
        </row>
        <row r="13">
          <cell r="B13">
            <v>9</v>
          </cell>
          <cell r="C13">
            <v>365.86</v>
          </cell>
          <cell r="D13">
            <v>334.31</v>
          </cell>
          <cell r="E13">
            <v>257.32</v>
          </cell>
          <cell r="I13">
            <v>9</v>
          </cell>
          <cell r="J13">
            <v>335.08</v>
          </cell>
          <cell r="K13">
            <v>304.55</v>
          </cell>
          <cell r="L13">
            <v>161.41</v>
          </cell>
        </row>
        <row r="17">
          <cell r="C17" t="str">
            <v>Cubic</v>
          </cell>
          <cell r="D17" t="str">
            <v>High-Speed</v>
          </cell>
          <cell r="E17" t="str">
            <v>BBR</v>
          </cell>
          <cell r="J17" t="str">
            <v>Cubic</v>
          </cell>
          <cell r="K17" t="str">
            <v>High-Speed</v>
          </cell>
          <cell r="L17" t="str">
            <v>BBR</v>
          </cell>
        </row>
        <row r="18">
          <cell r="B18">
            <v>2</v>
          </cell>
          <cell r="C18">
            <v>0.7</v>
          </cell>
          <cell r="D18">
            <v>0.57999999999999996</v>
          </cell>
          <cell r="E18">
            <v>0.2</v>
          </cell>
          <cell r="I18">
            <v>2</v>
          </cell>
          <cell r="J18">
            <v>0.39</v>
          </cell>
          <cell r="K18">
            <v>0.76</v>
          </cell>
          <cell r="L18">
            <v>0</v>
          </cell>
        </row>
        <row r="19">
          <cell r="B19">
            <v>5</v>
          </cell>
          <cell r="C19">
            <v>1.25</v>
          </cell>
          <cell r="D19">
            <v>0.85</v>
          </cell>
          <cell r="E19">
            <v>0.34</v>
          </cell>
          <cell r="I19">
            <v>5</v>
          </cell>
          <cell r="J19">
            <v>0.8</v>
          </cell>
          <cell r="K19">
            <v>0.68</v>
          </cell>
          <cell r="L19">
            <v>0</v>
          </cell>
        </row>
        <row r="20">
          <cell r="B20">
            <v>9</v>
          </cell>
          <cell r="C20">
            <v>1.36</v>
          </cell>
          <cell r="D20">
            <v>0.93</v>
          </cell>
          <cell r="E20">
            <v>0.93</v>
          </cell>
          <cell r="I20">
            <v>9</v>
          </cell>
          <cell r="J20">
            <v>1.1599999999999999</v>
          </cell>
          <cell r="K20">
            <v>0.96</v>
          </cell>
          <cell r="L20">
            <v>4.87</v>
          </cell>
        </row>
        <row r="36">
          <cell r="Y36" t="str">
            <v>Cubic</v>
          </cell>
          <cell r="Z36" t="str">
            <v>High-Speed</v>
          </cell>
          <cell r="AA36" t="str">
            <v>BBR</v>
          </cell>
        </row>
        <row r="37">
          <cell r="X37">
            <v>2</v>
          </cell>
          <cell r="Y37">
            <v>0.99</v>
          </cell>
          <cell r="Z37">
            <v>0.93</v>
          </cell>
          <cell r="AA37">
            <v>0.98</v>
          </cell>
        </row>
        <row r="38">
          <cell r="X38">
            <v>5</v>
          </cell>
          <cell r="Y38">
            <v>0.97</v>
          </cell>
          <cell r="Z38">
            <v>0.95</v>
          </cell>
          <cell r="AA38">
            <v>0.56000000000000005</v>
          </cell>
        </row>
        <row r="39">
          <cell r="X39">
            <v>9</v>
          </cell>
          <cell r="Y39">
            <v>0.99</v>
          </cell>
          <cell r="Z39">
            <v>0.73</v>
          </cell>
          <cell r="AA39">
            <v>0.92</v>
          </cell>
        </row>
        <row r="43">
          <cell r="AA43" t="str">
            <v>Cubic</v>
          </cell>
          <cell r="AB43" t="str">
            <v>High-Speed</v>
          </cell>
          <cell r="AC43" t="str">
            <v>BBR</v>
          </cell>
        </row>
        <row r="44">
          <cell r="Z44">
            <v>2</v>
          </cell>
          <cell r="AA44">
            <v>1</v>
          </cell>
          <cell r="AB44">
            <v>0.97</v>
          </cell>
          <cell r="AC44">
            <v>1</v>
          </cell>
        </row>
        <row r="45">
          <cell r="Z45">
            <v>5</v>
          </cell>
          <cell r="AA45">
            <v>0.97</v>
          </cell>
          <cell r="AB45">
            <v>0.98</v>
          </cell>
          <cell r="AC45">
            <v>0.99</v>
          </cell>
        </row>
        <row r="46">
          <cell r="Z46">
            <v>9</v>
          </cell>
          <cell r="AA46">
            <v>0.92</v>
          </cell>
          <cell r="AB46">
            <v>0.9</v>
          </cell>
          <cell r="AC46">
            <v>0.65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3"/>
  <sheetViews>
    <sheetView tabSelected="1" topLeftCell="N34" zoomScale="70" zoomScaleNormal="70" workbookViewId="0">
      <selection activeCell="AH40" sqref="AH40"/>
    </sheetView>
  </sheetViews>
  <sheetFormatPr defaultColWidth="9.1796875" defaultRowHeight="18" x14ac:dyDescent="0.4"/>
  <cols>
    <col min="1" max="1" width="19.81640625" style="2" customWidth="1"/>
    <col min="2" max="2" width="16" style="2" customWidth="1"/>
    <col min="3" max="3" width="15.81640625" style="2" customWidth="1"/>
    <col min="4" max="4" width="18.1796875" style="2" customWidth="1"/>
    <col min="5" max="5" width="13.7265625" style="2" customWidth="1"/>
    <col min="6" max="7" width="9.1796875" style="2"/>
    <col min="8" max="8" width="23.36328125" style="2" customWidth="1"/>
    <col min="9" max="9" width="34.54296875" style="2" customWidth="1"/>
    <col min="10" max="10" width="11.453125" style="2" customWidth="1"/>
    <col min="11" max="11" width="15.81640625" style="2" customWidth="1"/>
    <col min="12" max="12" width="14.453125" style="2" customWidth="1"/>
    <col min="13" max="13" width="12" style="2" customWidth="1"/>
    <col min="14" max="14" width="16.26953125" style="2" customWidth="1"/>
    <col min="15" max="16" width="9.1796875" style="2"/>
    <col min="17" max="17" width="16.453125" style="2" customWidth="1"/>
    <col min="18" max="21" width="9.1796875" style="2"/>
    <col min="22" max="22" width="8" style="2" customWidth="1"/>
    <col min="23" max="23" width="29.90625" style="2" customWidth="1"/>
    <col min="24" max="25" width="9.1796875" style="2"/>
    <col min="26" max="26" width="9.54296875" style="2" customWidth="1"/>
    <col min="27" max="27" width="9.1796875" style="2"/>
    <col min="28" max="29" width="11.6328125" style="2" customWidth="1"/>
    <col min="30" max="30" width="9.1796875" style="2"/>
    <col min="31" max="31" width="10" style="2" customWidth="1"/>
    <col min="32" max="16384" width="9.1796875" style="2"/>
  </cols>
  <sheetData>
    <row r="1" spans="1:34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34" x14ac:dyDescent="0.4">
      <c r="A3" s="3" t="s">
        <v>1</v>
      </c>
      <c r="B3" s="3"/>
      <c r="C3" s="3"/>
      <c r="D3" s="3"/>
      <c r="E3" s="3"/>
      <c r="H3" s="3" t="s">
        <v>2</v>
      </c>
      <c r="I3" s="3"/>
      <c r="J3" s="3"/>
      <c r="K3" s="3"/>
      <c r="L3" s="3"/>
      <c r="W3" s="4"/>
      <c r="X3" s="5" t="s">
        <v>3</v>
      </c>
      <c r="Y3" s="5"/>
      <c r="Z3" s="5"/>
      <c r="AA3" s="5"/>
      <c r="AB3" s="5"/>
      <c r="AC3" s="5"/>
      <c r="AD3" s="5"/>
      <c r="AE3" s="5"/>
      <c r="AF3" s="5"/>
      <c r="AG3" s="6"/>
      <c r="AH3" s="6"/>
    </row>
    <row r="4" spans="1:34" x14ac:dyDescent="0.4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H4" s="7" t="s">
        <v>4</v>
      </c>
      <c r="I4" s="7" t="s">
        <v>5</v>
      </c>
      <c r="J4" s="7" t="s">
        <v>6</v>
      </c>
      <c r="K4" s="7" t="s">
        <v>7</v>
      </c>
      <c r="L4" s="7" t="s">
        <v>8</v>
      </c>
      <c r="W4" s="4"/>
      <c r="X4" s="8" t="s">
        <v>9</v>
      </c>
      <c r="Y4" s="3"/>
      <c r="Z4" s="3"/>
      <c r="AA4" s="8" t="s">
        <v>10</v>
      </c>
      <c r="AB4" s="3"/>
      <c r="AC4" s="3"/>
      <c r="AD4" s="3" t="s">
        <v>11</v>
      </c>
      <c r="AE4" s="3"/>
      <c r="AF4" s="3"/>
    </row>
    <row r="5" spans="1:34" x14ac:dyDescent="0.4">
      <c r="A5" s="4">
        <v>1500</v>
      </c>
      <c r="B5" s="4">
        <v>2</v>
      </c>
      <c r="C5" s="4">
        <v>4.53</v>
      </c>
      <c r="D5" s="4">
        <v>4.54</v>
      </c>
      <c r="E5" s="4">
        <v>4.4000000000000004</v>
      </c>
      <c r="H5" s="4">
        <v>1500</v>
      </c>
      <c r="I5" s="4">
        <v>2</v>
      </c>
      <c r="J5" s="9">
        <v>4.76</v>
      </c>
      <c r="K5" s="9">
        <v>4.75</v>
      </c>
      <c r="L5" s="9">
        <v>1.07</v>
      </c>
      <c r="W5" s="4"/>
      <c r="X5" s="7" t="s">
        <v>6</v>
      </c>
      <c r="Y5" s="7" t="s">
        <v>7</v>
      </c>
      <c r="Z5" s="7" t="s">
        <v>8</v>
      </c>
      <c r="AA5" s="7" t="s">
        <v>6</v>
      </c>
      <c r="AB5" s="7" t="s">
        <v>7</v>
      </c>
      <c r="AC5" s="7" t="s">
        <v>8</v>
      </c>
      <c r="AD5" s="7" t="s">
        <v>6</v>
      </c>
      <c r="AE5" s="7" t="s">
        <v>7</v>
      </c>
      <c r="AF5" s="7" t="s">
        <v>8</v>
      </c>
    </row>
    <row r="6" spans="1:34" x14ac:dyDescent="0.4">
      <c r="A6" s="4"/>
      <c r="B6" s="4">
        <v>5</v>
      </c>
      <c r="C6" s="4">
        <v>1.65</v>
      </c>
      <c r="D6" s="4">
        <v>1.7</v>
      </c>
      <c r="E6" s="4">
        <v>1.65</v>
      </c>
      <c r="H6" s="4"/>
      <c r="I6" s="4">
        <v>5</v>
      </c>
      <c r="J6" s="9">
        <v>1.9</v>
      </c>
      <c r="K6" s="9">
        <v>1.9</v>
      </c>
      <c r="L6" s="9">
        <v>0.22</v>
      </c>
      <c r="W6" s="4"/>
      <c r="X6" s="10">
        <v>4.49</v>
      </c>
      <c r="Y6" s="10">
        <v>3.75</v>
      </c>
      <c r="Z6" s="10">
        <v>4.66</v>
      </c>
      <c r="AA6" s="10">
        <v>1.99</v>
      </c>
      <c r="AB6" s="10">
        <v>1.72</v>
      </c>
      <c r="AC6" s="10">
        <v>1.93</v>
      </c>
      <c r="AD6" s="10">
        <v>1.1399999999999999</v>
      </c>
      <c r="AE6" s="11">
        <v>0.91</v>
      </c>
      <c r="AF6" s="10">
        <v>1.7</v>
      </c>
    </row>
    <row r="7" spans="1:34" x14ac:dyDescent="0.4">
      <c r="A7" s="4"/>
      <c r="B7" s="4">
        <v>9</v>
      </c>
      <c r="C7" s="4">
        <v>0.86</v>
      </c>
      <c r="D7" s="4">
        <v>0.85</v>
      </c>
      <c r="E7" s="4">
        <v>0.84</v>
      </c>
      <c r="H7" s="4"/>
      <c r="I7" s="4">
        <v>9</v>
      </c>
      <c r="J7" s="9">
        <v>1.05</v>
      </c>
      <c r="K7" s="9">
        <v>1.05</v>
      </c>
      <c r="L7" s="9">
        <v>7.0000000000000007E-2</v>
      </c>
      <c r="W7" s="4"/>
      <c r="X7" s="10">
        <v>4.57</v>
      </c>
      <c r="Y7" s="10">
        <v>5.5</v>
      </c>
      <c r="Z7" s="10">
        <v>4.1399999999999997</v>
      </c>
      <c r="AA7" s="10">
        <v>1.93</v>
      </c>
      <c r="AB7" s="10">
        <v>2.16</v>
      </c>
      <c r="AC7" s="10">
        <v>1.63</v>
      </c>
      <c r="AD7" s="10">
        <v>1.42</v>
      </c>
      <c r="AE7" s="11">
        <v>0.81</v>
      </c>
      <c r="AF7" s="10">
        <v>1.49</v>
      </c>
    </row>
    <row r="8" spans="1:34" x14ac:dyDescent="0.4">
      <c r="W8" s="4"/>
      <c r="X8" s="10"/>
      <c r="Y8" s="10"/>
      <c r="Z8" s="10"/>
      <c r="AA8" s="10">
        <v>1.32</v>
      </c>
      <c r="AB8" s="10">
        <v>1.64</v>
      </c>
      <c r="AC8" s="10">
        <v>1.69</v>
      </c>
      <c r="AD8" s="10">
        <v>0.77</v>
      </c>
      <c r="AE8" s="11">
        <v>1.56</v>
      </c>
      <c r="AF8" s="10">
        <v>0.88</v>
      </c>
    </row>
    <row r="9" spans="1:34" x14ac:dyDescent="0.4">
      <c r="A9" s="8" t="s">
        <v>12</v>
      </c>
      <c r="B9" s="8"/>
      <c r="C9" s="8"/>
      <c r="D9" s="8"/>
      <c r="E9" s="8"/>
      <c r="H9" s="8" t="s">
        <v>13</v>
      </c>
      <c r="I9" s="3"/>
      <c r="J9" s="3"/>
      <c r="K9" s="3"/>
      <c r="L9" s="3"/>
      <c r="W9" s="4"/>
      <c r="X9" s="10"/>
      <c r="Y9" s="10"/>
      <c r="Z9" s="10"/>
      <c r="AA9" s="10">
        <v>1.72</v>
      </c>
      <c r="AB9" s="10">
        <v>1.58</v>
      </c>
      <c r="AC9" s="10">
        <v>1.52</v>
      </c>
      <c r="AD9" s="10">
        <v>0.57999999999999996</v>
      </c>
      <c r="AE9" s="11">
        <v>0.91</v>
      </c>
      <c r="AF9" s="10">
        <v>1.07</v>
      </c>
    </row>
    <row r="10" spans="1:34" x14ac:dyDescent="0.4">
      <c r="A10" s="7" t="s">
        <v>4</v>
      </c>
      <c r="B10" s="7" t="s">
        <v>5</v>
      </c>
      <c r="C10" s="7" t="s">
        <v>6</v>
      </c>
      <c r="D10" s="7" t="s">
        <v>7</v>
      </c>
      <c r="E10" s="7" t="s">
        <v>8</v>
      </c>
      <c r="H10" s="7" t="s">
        <v>4</v>
      </c>
      <c r="I10" s="7"/>
      <c r="J10" s="7" t="s">
        <v>6</v>
      </c>
      <c r="K10" s="7" t="s">
        <v>7</v>
      </c>
      <c r="L10" s="7" t="s">
        <v>8</v>
      </c>
      <c r="W10" s="4"/>
      <c r="X10" s="10"/>
      <c r="Y10" s="10"/>
      <c r="Z10" s="10"/>
      <c r="AA10" s="10">
        <v>1.31</v>
      </c>
      <c r="AB10" s="10">
        <v>1.36</v>
      </c>
      <c r="AC10" s="10">
        <v>1.48</v>
      </c>
      <c r="AD10" s="10">
        <v>0.79</v>
      </c>
      <c r="AE10" s="11">
        <v>0.85</v>
      </c>
      <c r="AF10" s="10">
        <v>0.9</v>
      </c>
    </row>
    <row r="11" spans="1:34" x14ac:dyDescent="0.4">
      <c r="A11" s="4">
        <v>1500</v>
      </c>
      <c r="B11" s="4">
        <v>2</v>
      </c>
      <c r="C11" s="4">
        <v>344.66</v>
      </c>
      <c r="D11" s="12">
        <v>326.97000000000003</v>
      </c>
      <c r="E11" s="4">
        <v>191.86</v>
      </c>
      <c r="H11" s="4">
        <v>1500</v>
      </c>
      <c r="I11" s="4">
        <v>2</v>
      </c>
      <c r="J11" s="9">
        <v>305.62</v>
      </c>
      <c r="K11" s="13">
        <v>301.29000000000002</v>
      </c>
      <c r="L11" s="9">
        <v>27.93</v>
      </c>
      <c r="W11" s="4"/>
      <c r="X11" s="10"/>
      <c r="Y11" s="10"/>
      <c r="Z11" s="10"/>
      <c r="AA11" s="10"/>
      <c r="AB11" s="10"/>
      <c r="AC11" s="10"/>
      <c r="AD11" s="10">
        <v>0.79</v>
      </c>
      <c r="AE11" s="11">
        <v>0.77</v>
      </c>
      <c r="AF11" s="10">
        <v>0.09</v>
      </c>
    </row>
    <row r="12" spans="1:34" x14ac:dyDescent="0.4">
      <c r="A12" s="4"/>
      <c r="B12" s="4">
        <v>5</v>
      </c>
      <c r="C12" s="4">
        <v>356.49</v>
      </c>
      <c r="D12" s="4">
        <v>334.11</v>
      </c>
      <c r="E12" s="4">
        <v>235.01</v>
      </c>
      <c r="H12" s="4"/>
      <c r="I12" s="4">
        <v>5</v>
      </c>
      <c r="J12" s="9">
        <v>324.45999999999998</v>
      </c>
      <c r="K12" s="9">
        <v>296.94</v>
      </c>
      <c r="L12" s="9">
        <v>128.82</v>
      </c>
      <c r="W12" s="4"/>
      <c r="X12" s="10"/>
      <c r="Y12" s="10"/>
      <c r="Z12" s="10"/>
      <c r="AA12" s="10"/>
      <c r="AB12" s="10"/>
      <c r="AC12" s="10"/>
      <c r="AD12" s="10">
        <v>0.76</v>
      </c>
      <c r="AE12" s="11">
        <v>0.75</v>
      </c>
      <c r="AF12" s="10">
        <v>0.03</v>
      </c>
    </row>
    <row r="13" spans="1:34" x14ac:dyDescent="0.4">
      <c r="A13" s="4"/>
      <c r="B13" s="4">
        <v>9</v>
      </c>
      <c r="C13" s="4">
        <v>365.86</v>
      </c>
      <c r="D13" s="4">
        <v>334.31</v>
      </c>
      <c r="E13" s="4">
        <v>257.32</v>
      </c>
      <c r="H13" s="4"/>
      <c r="I13" s="4">
        <v>9</v>
      </c>
      <c r="J13" s="9">
        <v>335.08</v>
      </c>
      <c r="K13" s="9">
        <v>304.55</v>
      </c>
      <c r="L13" s="9">
        <v>161.41</v>
      </c>
      <c r="W13" s="4"/>
      <c r="X13" s="10"/>
      <c r="Y13" s="10"/>
      <c r="Z13" s="10"/>
      <c r="AA13" s="10"/>
      <c r="AB13" s="10"/>
      <c r="AC13" s="10"/>
      <c r="AD13" s="10">
        <v>0.73</v>
      </c>
      <c r="AE13" s="11">
        <v>0.73</v>
      </c>
      <c r="AF13" s="10">
        <v>1.33</v>
      </c>
    </row>
    <row r="14" spans="1:34" x14ac:dyDescent="0.4">
      <c r="W14" s="4"/>
      <c r="X14" s="10"/>
      <c r="Y14" s="10"/>
      <c r="Z14" s="10"/>
      <c r="AA14" s="10"/>
      <c r="AB14" s="10"/>
      <c r="AC14" s="10"/>
      <c r="AD14" s="10">
        <v>0.72</v>
      </c>
      <c r="AE14" s="11">
        <v>0.39</v>
      </c>
      <c r="AF14" s="10">
        <v>0.04</v>
      </c>
    </row>
    <row r="15" spans="1:34" x14ac:dyDescent="0.4">
      <c r="W15" s="7" t="s">
        <v>14</v>
      </c>
      <c r="X15" s="11">
        <f>SUM(X6:X7)^2/(2*SUMSQ(X6:X7))</f>
        <v>0.99992203678889024</v>
      </c>
      <c r="Y15" s="11">
        <f>SUM(Y6:Y7)^2/(2*SUMSQ(Y6:Y7))</f>
        <v>0.9654442877291961</v>
      </c>
      <c r="Z15" s="11">
        <f>SUM(Z6:Z7)^2/(2*SUMSQ(Z6:Z7))</f>
        <v>0.99652041425600713</v>
      </c>
      <c r="AA15" s="11">
        <f>SUM(AA6:AA10)^2/(5*SUMSQ(AA6:AA10))</f>
        <v>0.96998135003084685</v>
      </c>
      <c r="AB15" s="11">
        <f>SUM(AB6:AB10)^2/(5*SUMSQ(AB6:AB10))</f>
        <v>0.97644683347430994</v>
      </c>
      <c r="AC15" s="11">
        <f>SUM(AC6:AC10)^2/(5*SUMSQ(AC6:AC10))</f>
        <v>0.99081426918121807</v>
      </c>
      <c r="AD15" s="11">
        <f>SUM(AD6:AD14)^2/(9*SUMSQ(AD6:AD14))</f>
        <v>0.92493791106618206</v>
      </c>
      <c r="AE15" s="11">
        <f>SUM(AE6:AE14)^2/(9*SUMSQ(AE6:AE14))</f>
        <v>0.89667250437828383</v>
      </c>
      <c r="AF15" s="11">
        <f>SUM(AF6:AF14)^2/(9*SUMSQ(AF6:AF14))</f>
        <v>0.65497094262337729</v>
      </c>
    </row>
    <row r="16" spans="1:34" x14ac:dyDescent="0.4">
      <c r="A16" s="8" t="s">
        <v>15</v>
      </c>
      <c r="B16" s="3"/>
      <c r="C16" s="3"/>
      <c r="D16" s="3"/>
      <c r="E16" s="3"/>
      <c r="H16" s="8" t="s">
        <v>16</v>
      </c>
      <c r="I16" s="3"/>
      <c r="J16" s="3"/>
      <c r="K16" s="3"/>
      <c r="L16" s="3"/>
      <c r="W16" s="7" t="s">
        <v>17</v>
      </c>
      <c r="X16" s="10">
        <f>SUM(X6:X7)</f>
        <v>9.06</v>
      </c>
      <c r="Y16" s="10">
        <f>SUM(Y6:Y7)</f>
        <v>9.25</v>
      </c>
      <c r="Z16" s="10">
        <f>SUM(Z6:Z7)</f>
        <v>8.8000000000000007</v>
      </c>
      <c r="AA16" s="10">
        <f>SUM(AA6:AA10)</f>
        <v>8.27</v>
      </c>
      <c r="AB16" s="10">
        <f>SUM(AB6:AB10)</f>
        <v>8.4599999999999991</v>
      </c>
      <c r="AC16" s="10">
        <f>SUM(AC6:AC10)</f>
        <v>8.25</v>
      </c>
      <c r="AD16" s="10">
        <f>SUM(AD6:AD14)</f>
        <v>7.6999999999999984</v>
      </c>
      <c r="AE16" s="11">
        <f>SUM(AE6:AE14)</f>
        <v>7.6800000000000006</v>
      </c>
      <c r="AF16" s="11">
        <f>SUM(AF6:AF14)</f>
        <v>7.5300000000000011</v>
      </c>
    </row>
    <row r="17" spans="1:32" x14ac:dyDescent="0.4">
      <c r="A17" s="7" t="s">
        <v>4</v>
      </c>
      <c r="B17" s="7" t="s">
        <v>5</v>
      </c>
      <c r="C17" s="7" t="s">
        <v>6</v>
      </c>
      <c r="D17" s="7" t="s">
        <v>7</v>
      </c>
      <c r="E17" s="7" t="s">
        <v>8</v>
      </c>
      <c r="H17" s="7" t="s">
        <v>4</v>
      </c>
      <c r="I17" s="7"/>
      <c r="J17" s="7" t="s">
        <v>6</v>
      </c>
      <c r="K17" s="7" t="s">
        <v>7</v>
      </c>
      <c r="L17" s="7" t="s">
        <v>8</v>
      </c>
    </row>
    <row r="18" spans="1:32" x14ac:dyDescent="0.4">
      <c r="A18" s="4">
        <v>1500</v>
      </c>
      <c r="B18" s="4">
        <v>2</v>
      </c>
      <c r="C18" s="4">
        <v>0.7</v>
      </c>
      <c r="D18" s="4">
        <v>0.57999999999999996</v>
      </c>
      <c r="E18" s="4">
        <v>0.2</v>
      </c>
      <c r="H18" s="4">
        <v>1500</v>
      </c>
      <c r="I18" s="4">
        <v>2</v>
      </c>
      <c r="J18" s="10">
        <v>0.39</v>
      </c>
      <c r="K18" s="10">
        <v>0.76</v>
      </c>
      <c r="L18" s="10">
        <v>0</v>
      </c>
    </row>
    <row r="19" spans="1:32" x14ac:dyDescent="0.4">
      <c r="A19" s="4"/>
      <c r="B19" s="4">
        <v>5</v>
      </c>
      <c r="C19" s="4">
        <v>1.25</v>
      </c>
      <c r="D19" s="4">
        <v>0.85</v>
      </c>
      <c r="E19" s="4">
        <v>0.34</v>
      </c>
      <c r="H19" s="4"/>
      <c r="I19" s="4">
        <v>5</v>
      </c>
      <c r="J19" s="10">
        <v>0.8</v>
      </c>
      <c r="K19" s="10">
        <v>0.68</v>
      </c>
      <c r="L19" s="10">
        <v>0</v>
      </c>
    </row>
    <row r="20" spans="1:32" x14ac:dyDescent="0.4">
      <c r="A20" s="4"/>
      <c r="B20" s="4">
        <v>9</v>
      </c>
      <c r="C20" s="4">
        <v>1.36</v>
      </c>
      <c r="D20" s="4">
        <v>0.93</v>
      </c>
      <c r="E20" s="4">
        <v>0.93</v>
      </c>
      <c r="H20" s="4"/>
      <c r="I20" s="4">
        <v>9</v>
      </c>
      <c r="J20" s="10">
        <v>1.1599999999999999</v>
      </c>
      <c r="K20" s="10">
        <v>0.96</v>
      </c>
      <c r="L20" s="10">
        <v>4.87</v>
      </c>
      <c r="W20" s="4"/>
      <c r="X20" s="5" t="s">
        <v>18</v>
      </c>
      <c r="Y20" s="5"/>
      <c r="Z20" s="5"/>
      <c r="AA20" s="5"/>
      <c r="AB20" s="5"/>
      <c r="AC20" s="5"/>
      <c r="AD20" s="5"/>
      <c r="AE20" s="5"/>
      <c r="AF20" s="4"/>
    </row>
    <row r="21" spans="1:32" x14ac:dyDescent="0.4">
      <c r="W21" s="4"/>
      <c r="X21" s="8" t="s">
        <v>9</v>
      </c>
      <c r="Y21" s="3"/>
      <c r="Z21" s="3"/>
      <c r="AA21" s="8" t="s">
        <v>10</v>
      </c>
      <c r="AB21" s="3"/>
      <c r="AC21" s="3"/>
      <c r="AD21" s="3" t="s">
        <v>11</v>
      </c>
      <c r="AE21" s="3"/>
      <c r="AF21" s="3"/>
    </row>
    <row r="22" spans="1:32" x14ac:dyDescent="0.4">
      <c r="W22" s="4"/>
      <c r="X22" s="7" t="s">
        <v>6</v>
      </c>
      <c r="Y22" s="7" t="s">
        <v>7</v>
      </c>
      <c r="Z22" s="7" t="s">
        <v>8</v>
      </c>
      <c r="AA22" s="7" t="s">
        <v>6</v>
      </c>
      <c r="AB22" s="7" t="s">
        <v>7</v>
      </c>
      <c r="AC22" s="7" t="s">
        <v>8</v>
      </c>
      <c r="AD22" s="7" t="s">
        <v>6</v>
      </c>
      <c r="AE22" s="7" t="s">
        <v>7</v>
      </c>
      <c r="AF22" s="7" t="s">
        <v>8</v>
      </c>
    </row>
    <row r="23" spans="1:32" x14ac:dyDescent="0.4">
      <c r="W23" s="4"/>
      <c r="X23" s="10" t="s">
        <v>19</v>
      </c>
      <c r="Y23" s="10" t="s">
        <v>20</v>
      </c>
      <c r="Z23" s="10" t="s">
        <v>21</v>
      </c>
      <c r="AA23" s="10" t="s">
        <v>22</v>
      </c>
      <c r="AB23" s="10" t="s">
        <v>23</v>
      </c>
      <c r="AC23" s="10" t="s">
        <v>24</v>
      </c>
      <c r="AD23" s="10" t="s">
        <v>25</v>
      </c>
      <c r="AE23" s="11" t="s">
        <v>26</v>
      </c>
      <c r="AF23" s="10" t="s">
        <v>27</v>
      </c>
    </row>
    <row r="24" spans="1:32" x14ac:dyDescent="0.4">
      <c r="W24" s="4"/>
      <c r="X24" s="10" t="s">
        <v>28</v>
      </c>
      <c r="Y24" s="10" t="s">
        <v>29</v>
      </c>
      <c r="Z24" s="10" t="s">
        <v>30</v>
      </c>
      <c r="AA24" s="10" t="s">
        <v>31</v>
      </c>
      <c r="AB24" s="10" t="s">
        <v>32</v>
      </c>
      <c r="AC24" s="10" t="s">
        <v>33</v>
      </c>
      <c r="AD24" s="10" t="s">
        <v>34</v>
      </c>
      <c r="AE24" s="11" t="s">
        <v>35</v>
      </c>
      <c r="AF24" s="10" t="s">
        <v>36</v>
      </c>
    </row>
    <row r="25" spans="1:32" x14ac:dyDescent="0.4">
      <c r="W25" s="4"/>
      <c r="X25" s="10"/>
      <c r="Y25" s="10"/>
      <c r="Z25" s="10"/>
      <c r="AA25" s="10" t="s">
        <v>37</v>
      </c>
      <c r="AB25" s="10" t="s">
        <v>38</v>
      </c>
      <c r="AC25" s="10" t="s">
        <v>39</v>
      </c>
      <c r="AD25" s="10" t="s">
        <v>25</v>
      </c>
      <c r="AE25" s="11" t="s">
        <v>40</v>
      </c>
      <c r="AF25" s="10" t="s">
        <v>41</v>
      </c>
    </row>
    <row r="26" spans="1:32" x14ac:dyDescent="0.4">
      <c r="W26" s="4"/>
      <c r="X26" s="10"/>
      <c r="Y26" s="10"/>
      <c r="Z26" s="10"/>
      <c r="AA26" s="10" t="s">
        <v>42</v>
      </c>
      <c r="AB26" s="10" t="s">
        <v>43</v>
      </c>
      <c r="AC26" s="10" t="s">
        <v>44</v>
      </c>
      <c r="AD26" s="10" t="s">
        <v>45</v>
      </c>
      <c r="AE26" s="11" t="s">
        <v>46</v>
      </c>
      <c r="AF26" s="10" t="s">
        <v>36</v>
      </c>
    </row>
    <row r="27" spans="1:32" x14ac:dyDescent="0.4">
      <c r="W27" s="4"/>
      <c r="X27" s="10"/>
      <c r="Y27" s="10"/>
      <c r="Z27" s="10"/>
      <c r="AA27" s="10" t="s">
        <v>47</v>
      </c>
      <c r="AB27" s="10" t="s">
        <v>48</v>
      </c>
      <c r="AC27" s="10" t="s">
        <v>49</v>
      </c>
      <c r="AD27" s="10" t="s">
        <v>50</v>
      </c>
      <c r="AE27" s="11" t="s">
        <v>51</v>
      </c>
      <c r="AF27" s="10" t="s">
        <v>36</v>
      </c>
    </row>
    <row r="28" spans="1:32" x14ac:dyDescent="0.4">
      <c r="W28" s="4"/>
      <c r="X28" s="10"/>
      <c r="Y28" s="10"/>
      <c r="Z28" s="10"/>
      <c r="AA28" s="10"/>
      <c r="AB28" s="10"/>
      <c r="AC28" s="10"/>
      <c r="AD28" s="10" t="s">
        <v>30</v>
      </c>
      <c r="AE28" s="11" t="s">
        <v>52</v>
      </c>
      <c r="AF28" s="10" t="s">
        <v>53</v>
      </c>
    </row>
    <row r="29" spans="1:32" x14ac:dyDescent="0.4">
      <c r="W29" s="4"/>
      <c r="X29" s="10"/>
      <c r="Y29" s="10"/>
      <c r="Z29" s="10"/>
      <c r="AA29" s="10"/>
      <c r="AB29" s="10"/>
      <c r="AC29" s="10"/>
      <c r="AD29" s="10" t="s">
        <v>30</v>
      </c>
      <c r="AE29" s="11" t="s">
        <v>54</v>
      </c>
      <c r="AF29" s="10" t="s">
        <v>24</v>
      </c>
    </row>
    <row r="30" spans="1:32" x14ac:dyDescent="0.4">
      <c r="W30" s="4"/>
      <c r="X30" s="10"/>
      <c r="Y30" s="10"/>
      <c r="Z30" s="10"/>
      <c r="AA30" s="10"/>
      <c r="AB30" s="10"/>
      <c r="AC30" s="10"/>
      <c r="AD30" s="10" t="s">
        <v>55</v>
      </c>
      <c r="AE30" s="11" t="s">
        <v>56</v>
      </c>
      <c r="AF30" s="10" t="s">
        <v>33</v>
      </c>
    </row>
    <row r="31" spans="1:32" x14ac:dyDescent="0.4">
      <c r="W31" s="4"/>
      <c r="X31" s="10"/>
      <c r="Y31" s="10"/>
      <c r="Z31" s="10"/>
      <c r="AA31" s="10"/>
      <c r="AB31" s="10"/>
      <c r="AC31" s="10"/>
      <c r="AD31" s="10" t="s">
        <v>57</v>
      </c>
      <c r="AE31" s="11" t="s">
        <v>58</v>
      </c>
      <c r="AF31" s="10" t="s">
        <v>36</v>
      </c>
    </row>
    <row r="32" spans="1:32" x14ac:dyDescent="0.4">
      <c r="W32" s="7" t="s">
        <v>14</v>
      </c>
      <c r="X32" s="11" t="s">
        <v>59</v>
      </c>
      <c r="Y32" s="11" t="s">
        <v>60</v>
      </c>
      <c r="Z32" s="11" t="s">
        <v>55</v>
      </c>
      <c r="AA32" s="11" t="s">
        <v>61</v>
      </c>
      <c r="AB32" s="11" t="s">
        <v>62</v>
      </c>
      <c r="AC32" s="11" t="s">
        <v>63</v>
      </c>
      <c r="AD32" s="11" t="s">
        <v>59</v>
      </c>
      <c r="AE32" s="11" t="s">
        <v>64</v>
      </c>
      <c r="AF32" s="11" t="s">
        <v>30</v>
      </c>
    </row>
    <row r="33" spans="23:32" x14ac:dyDescent="0.4">
      <c r="W33" s="7" t="s">
        <v>17</v>
      </c>
      <c r="X33" s="10" t="s">
        <v>65</v>
      </c>
      <c r="Y33" s="10" t="s">
        <v>66</v>
      </c>
      <c r="Z33" s="10" t="s">
        <v>67</v>
      </c>
      <c r="AA33" s="10" t="s">
        <v>68</v>
      </c>
      <c r="AB33" s="10" t="s">
        <v>66</v>
      </c>
      <c r="AC33" s="10" t="s">
        <v>69</v>
      </c>
      <c r="AD33" s="10" t="s">
        <v>70</v>
      </c>
      <c r="AE33" s="11" t="s">
        <v>71</v>
      </c>
      <c r="AF33" s="11" t="s">
        <v>72</v>
      </c>
    </row>
    <row r="35" spans="23:32" x14ac:dyDescent="0.4">
      <c r="X35" s="4"/>
      <c r="Y35" s="7" t="s">
        <v>73</v>
      </c>
      <c r="Z35" s="7"/>
      <c r="AA35" s="7"/>
      <c r="AB35" s="7"/>
    </row>
    <row r="36" spans="23:32" x14ac:dyDescent="0.4">
      <c r="X36" s="7"/>
      <c r="Y36" s="7" t="s">
        <v>6</v>
      </c>
      <c r="Z36" s="7" t="s">
        <v>7</v>
      </c>
      <c r="AA36" s="7" t="s">
        <v>8</v>
      </c>
      <c r="AB36" s="4"/>
    </row>
    <row r="37" spans="23:32" x14ac:dyDescent="0.4">
      <c r="X37" s="4">
        <v>2</v>
      </c>
      <c r="Y37" s="4">
        <v>0.99</v>
      </c>
      <c r="Z37" s="4">
        <v>0.93</v>
      </c>
      <c r="AA37" s="4">
        <v>0.98</v>
      </c>
      <c r="AB37" s="4"/>
    </row>
    <row r="38" spans="23:32" x14ac:dyDescent="0.4">
      <c r="X38" s="4">
        <v>5</v>
      </c>
      <c r="Y38" s="4">
        <v>0.97</v>
      </c>
      <c r="Z38" s="4">
        <v>0.95</v>
      </c>
      <c r="AA38" s="4">
        <v>0.56000000000000005</v>
      </c>
      <c r="AB38" s="4"/>
    </row>
    <row r="39" spans="23:32" x14ac:dyDescent="0.4">
      <c r="X39" s="4">
        <v>9</v>
      </c>
      <c r="Y39" s="4">
        <v>0.99</v>
      </c>
      <c r="Z39" s="4">
        <v>0.73</v>
      </c>
      <c r="AA39" s="4">
        <v>0.92</v>
      </c>
      <c r="AB39" s="4"/>
    </row>
    <row r="42" spans="23:32" x14ac:dyDescent="0.4">
      <c r="Z42" s="7" t="s">
        <v>74</v>
      </c>
      <c r="AA42" s="7"/>
      <c r="AB42" s="7"/>
      <c r="AC42" s="7"/>
    </row>
    <row r="43" spans="23:32" x14ac:dyDescent="0.4">
      <c r="Z43" s="4"/>
      <c r="AA43" s="7" t="s">
        <v>6</v>
      </c>
      <c r="AB43" s="7" t="s">
        <v>7</v>
      </c>
      <c r="AC43" s="7" t="s">
        <v>8</v>
      </c>
    </row>
    <row r="44" spans="23:32" x14ac:dyDescent="0.4">
      <c r="Z44" s="4">
        <v>2</v>
      </c>
      <c r="AA44" s="4">
        <v>1</v>
      </c>
      <c r="AB44" s="4">
        <v>0.97</v>
      </c>
      <c r="AC44" s="4">
        <v>1</v>
      </c>
    </row>
    <row r="45" spans="23:32" x14ac:dyDescent="0.4">
      <c r="Z45" s="4">
        <v>5</v>
      </c>
      <c r="AA45" s="4">
        <v>0.97</v>
      </c>
      <c r="AB45" s="4">
        <v>0.98</v>
      </c>
      <c r="AC45" s="4">
        <v>0.99</v>
      </c>
    </row>
    <row r="46" spans="23:32" x14ac:dyDescent="0.4">
      <c r="Z46" s="4">
        <v>9</v>
      </c>
      <c r="AA46" s="4">
        <v>0.92</v>
      </c>
      <c r="AB46" s="4">
        <v>0.9</v>
      </c>
      <c r="AC46" s="4">
        <v>0.65</v>
      </c>
    </row>
    <row r="53" spans="1:9" x14ac:dyDescent="0.4">
      <c r="A53" s="14"/>
      <c r="B53" s="1"/>
      <c r="C53" s="1"/>
      <c r="D53" s="14"/>
      <c r="E53" s="1"/>
      <c r="F53" s="1"/>
      <c r="G53" s="1"/>
      <c r="H53" s="1"/>
      <c r="I53" s="1"/>
    </row>
  </sheetData>
  <mergeCells count="16">
    <mergeCell ref="AD21:AF21"/>
    <mergeCell ref="A53:C53"/>
    <mergeCell ref="D53:F53"/>
    <mergeCell ref="G53:I53"/>
    <mergeCell ref="A9:E9"/>
    <mergeCell ref="H9:L9"/>
    <mergeCell ref="A16:E16"/>
    <mergeCell ref="H16:L16"/>
    <mergeCell ref="X21:Z21"/>
    <mergeCell ref="AA21:AC21"/>
    <mergeCell ref="A1:N1"/>
    <mergeCell ref="A3:E3"/>
    <mergeCell ref="H3:L3"/>
    <mergeCell ref="X4:Z4"/>
    <mergeCell ref="AA4:AC4"/>
    <mergeCell ref="AD4:AF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Mbula</dc:creator>
  <cp:lastModifiedBy>Gloria Mbula</cp:lastModifiedBy>
  <dcterms:created xsi:type="dcterms:W3CDTF">2026-04-27T07:26:45Z</dcterms:created>
  <dcterms:modified xsi:type="dcterms:W3CDTF">2026-04-27T07:28:46Z</dcterms:modified>
</cp:coreProperties>
</file>