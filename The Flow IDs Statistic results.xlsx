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lori\OneDrive\Gloris\COURSES\WSB MERITO\Semester 4\Diploma Seminar\Electronic version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2" i="1" l="1"/>
  <c r="I72" i="1"/>
  <c r="H72" i="1"/>
  <c r="J61" i="1"/>
  <c r="I61" i="1"/>
  <c r="H61" i="1"/>
  <c r="J50" i="1"/>
  <c r="I50" i="1"/>
  <c r="H50" i="1"/>
  <c r="J37" i="1"/>
  <c r="I37" i="1"/>
  <c r="H37" i="1"/>
  <c r="J30" i="1"/>
  <c r="I30" i="1"/>
  <c r="H30" i="1"/>
  <c r="J23" i="1"/>
  <c r="I23" i="1"/>
  <c r="H23" i="1"/>
  <c r="J14" i="1"/>
  <c r="I14" i="1"/>
  <c r="H14" i="1"/>
  <c r="J10" i="1"/>
  <c r="I10" i="1"/>
  <c r="H10" i="1"/>
  <c r="J6" i="1"/>
  <c r="I6" i="1"/>
  <c r="H6" i="1"/>
</calcChain>
</file>

<file path=xl/sharedStrings.xml><?xml version="1.0" encoding="utf-8"?>
<sst xmlns="http://schemas.openxmlformats.org/spreadsheetml/2006/main" count="42" uniqueCount="22">
  <si>
    <r>
      <t xml:space="preserve">                                                                </t>
    </r>
    <r>
      <rPr>
        <b/>
        <i/>
        <sz val="18"/>
        <color rgb="FFFF0000"/>
        <rFont val="Times New Roman"/>
        <family val="1"/>
      </rPr>
      <t xml:space="preserve">  2 Flows Results</t>
    </r>
  </si>
  <si>
    <t>Results for  High Speed</t>
  </si>
  <si>
    <t>Flow ID</t>
  </si>
  <si>
    <t>Througput(Mbps)</t>
  </si>
  <si>
    <t>Mean Delay(ms)</t>
  </si>
  <si>
    <t>Loss ratio(%)</t>
  </si>
  <si>
    <t>sent packets</t>
  </si>
  <si>
    <t>Received packets</t>
  </si>
  <si>
    <t>Loss packets</t>
  </si>
  <si>
    <t>AVG throughput(Mbps)</t>
  </si>
  <si>
    <t>Means Delays(ms) 1st method</t>
  </si>
  <si>
    <t>loss Ratio(%)</t>
  </si>
  <si>
    <t xml:space="preserve">                             Cubic Results</t>
  </si>
  <si>
    <t xml:space="preserve">                               BBR Results</t>
  </si>
  <si>
    <t xml:space="preserve">                                                                       5 Flows Results</t>
  </si>
  <si>
    <t xml:space="preserve">                                                                                                                                                High-Speed Results</t>
  </si>
  <si>
    <t xml:space="preserve">Cubic Results </t>
  </si>
  <si>
    <r>
      <t xml:space="preserve">                                                                                                          </t>
    </r>
    <r>
      <rPr>
        <b/>
        <i/>
        <sz val="14"/>
        <color theme="1"/>
        <rFont val="Times New Roman"/>
        <family val="1"/>
      </rPr>
      <t xml:space="preserve">                                         BBR Results</t>
    </r>
  </si>
  <si>
    <r>
      <t xml:space="preserve">                                                                     </t>
    </r>
    <r>
      <rPr>
        <b/>
        <i/>
        <sz val="18"/>
        <color rgb="FFFF0000"/>
        <rFont val="Times New Roman"/>
        <family val="1"/>
      </rPr>
      <t xml:space="preserve">9 Flows Results </t>
    </r>
  </si>
  <si>
    <r>
      <t xml:space="preserve">                              </t>
    </r>
    <r>
      <rPr>
        <b/>
        <i/>
        <sz val="14"/>
        <color theme="1"/>
        <rFont val="Times New Roman"/>
        <family val="1"/>
      </rPr>
      <t xml:space="preserve">High Speed Results </t>
    </r>
  </si>
  <si>
    <t xml:space="preserve">                                     Cubic Results</t>
  </si>
  <si>
    <t xml:space="preserve">                                       BBR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</si>
</sst>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i/>
      <sz val="18"/>
      <color rgb="FFFF0000"/>
      <name val="Times New Roman"/>
      <family val="1"/>
    </font>
    <font>
      <b/>
      <i/>
      <sz val="18"/>
      <color rgb="FFFF0000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/>
    <xf numFmtId="0" fontId="6" fillId="0" borderId="0" xfId="0" applyFont="1"/>
    <xf numFmtId="2" fontId="3" fillId="0" borderId="1" xfId="0" applyNumberFormat="1" applyFont="1" applyBorder="1"/>
    <xf numFmtId="2" fontId="3" fillId="0" borderId="0" xfId="0" applyNumberFormat="1" applyFont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topLeftCell="A28" zoomScale="70" zoomScaleNormal="70" workbookViewId="0">
      <selection activeCell="A7" sqref="A7:I7"/>
    </sheetView>
  </sheetViews>
  <sheetFormatPr defaultColWidth="9.1796875" defaultRowHeight="18" x14ac:dyDescent="0.4"/>
  <cols>
    <col min="1" max="1" width="13.54296875" style="2" customWidth="1"/>
    <col min="2" max="2" width="26.08984375" style="2" customWidth="1"/>
    <col min="3" max="3" width="25.08984375" style="2" customWidth="1"/>
    <col min="4" max="4" width="19.08984375" style="2" customWidth="1"/>
    <col min="5" max="5" width="18" style="2" customWidth="1"/>
    <col min="6" max="6" width="24.90625" style="2" customWidth="1"/>
    <col min="7" max="7" width="16" style="2" customWidth="1"/>
    <col min="8" max="8" width="31.26953125" style="2" customWidth="1"/>
    <col min="9" max="9" width="40.90625" style="2" customWidth="1"/>
    <col min="10" max="10" width="18.08984375" style="2" customWidth="1"/>
    <col min="11" max="11" width="9.1796875" style="2"/>
    <col min="12" max="12" width="9.54296875" style="2" bestFit="1" customWidth="1"/>
    <col min="13" max="16384" width="9.1796875" style="2"/>
  </cols>
  <sheetData>
    <row r="1" spans="1:12" ht="23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2" x14ac:dyDescent="0.4">
      <c r="A2" s="3" t="s">
        <v>1</v>
      </c>
      <c r="B2" s="4"/>
      <c r="C2" s="4"/>
      <c r="D2" s="4"/>
      <c r="E2" s="4"/>
      <c r="F2" s="4"/>
      <c r="G2" s="4"/>
      <c r="H2" s="4"/>
      <c r="I2" s="4"/>
      <c r="J2" s="5"/>
    </row>
    <row r="3" spans="1:12" s="7" customFormat="1" ht="18.5" x14ac:dyDescent="0.4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pans="1:12" x14ac:dyDescent="0.4">
      <c r="A4" s="5">
        <v>1</v>
      </c>
      <c r="B4" s="5">
        <v>3.57</v>
      </c>
      <c r="C4" s="5">
        <v>328.85</v>
      </c>
      <c r="D4" s="5">
        <v>1</v>
      </c>
      <c r="E4" s="5">
        <v>33516</v>
      </c>
      <c r="F4" s="5">
        <v>33184</v>
      </c>
      <c r="G4" s="5">
        <v>332</v>
      </c>
      <c r="H4" s="5"/>
      <c r="I4" s="5"/>
      <c r="J4" s="5"/>
    </row>
    <row r="5" spans="1:12" x14ac:dyDescent="0.4">
      <c r="A5" s="5">
        <v>3</v>
      </c>
      <c r="B5" s="5">
        <v>5.5</v>
      </c>
      <c r="C5" s="8">
        <v>325.08</v>
      </c>
      <c r="D5" s="5">
        <v>1</v>
      </c>
      <c r="E5" s="5">
        <v>50273</v>
      </c>
      <c r="F5" s="5">
        <v>50124</v>
      </c>
      <c r="G5" s="5">
        <v>149</v>
      </c>
      <c r="H5" s="5"/>
      <c r="I5" s="5"/>
      <c r="J5" s="5"/>
      <c r="L5" s="9"/>
    </row>
    <row r="6" spans="1:12" x14ac:dyDescent="0.4">
      <c r="A6" s="5"/>
      <c r="B6" s="5"/>
      <c r="C6" s="5"/>
      <c r="D6" s="5"/>
      <c r="E6" s="5"/>
      <c r="F6" s="5"/>
      <c r="G6" s="5"/>
      <c r="H6" s="8">
        <f>SUM(B4:B5)/2</f>
        <v>4.5350000000000001</v>
      </c>
      <c r="I6" s="8">
        <f>SUM(C4:C5)/2</f>
        <v>326.96500000000003</v>
      </c>
      <c r="J6" s="8">
        <f>SUM(G4:G5)*100/SUM(F4:F5)</f>
        <v>0.57737552215873622</v>
      </c>
    </row>
    <row r="7" spans="1:12" x14ac:dyDescent="0.4">
      <c r="A7" s="3" t="s">
        <v>12</v>
      </c>
      <c r="B7" s="4"/>
      <c r="C7" s="4"/>
      <c r="D7" s="4"/>
      <c r="E7" s="4"/>
      <c r="F7" s="4"/>
      <c r="G7" s="4"/>
      <c r="H7" s="4"/>
      <c r="I7" s="4"/>
      <c r="J7" s="5"/>
    </row>
    <row r="8" spans="1:12" x14ac:dyDescent="0.4">
      <c r="A8" s="5">
        <v>1</v>
      </c>
      <c r="B8" s="8">
        <v>4.48949</v>
      </c>
      <c r="C8" s="8">
        <v>343.88</v>
      </c>
      <c r="D8" s="5">
        <v>1</v>
      </c>
      <c r="E8" s="5">
        <v>41544</v>
      </c>
      <c r="F8" s="5">
        <v>41199</v>
      </c>
      <c r="G8" s="5">
        <v>345</v>
      </c>
      <c r="H8" s="5"/>
      <c r="I8" s="5"/>
      <c r="J8" s="5"/>
      <c r="L8" s="9"/>
    </row>
    <row r="9" spans="1:12" x14ac:dyDescent="0.4">
      <c r="A9" s="5">
        <v>3</v>
      </c>
      <c r="B9" s="8">
        <v>4.5655200000000002</v>
      </c>
      <c r="C9" s="8">
        <v>345.44</v>
      </c>
      <c r="D9" s="5">
        <v>1</v>
      </c>
      <c r="E9" s="5">
        <v>42106</v>
      </c>
      <c r="F9" s="5">
        <v>41867</v>
      </c>
      <c r="G9" s="5">
        <v>239</v>
      </c>
      <c r="H9" s="5"/>
      <c r="I9" s="5"/>
      <c r="J9" s="5"/>
      <c r="L9" s="9"/>
    </row>
    <row r="10" spans="1:12" x14ac:dyDescent="0.4">
      <c r="A10" s="5"/>
      <c r="B10" s="5"/>
      <c r="C10" s="5"/>
      <c r="D10" s="5"/>
      <c r="E10" s="5"/>
      <c r="F10" s="5"/>
      <c r="G10" s="5"/>
      <c r="H10" s="8">
        <f>SUM(B8:B9)/2</f>
        <v>4.5275049999999997</v>
      </c>
      <c r="I10" s="8">
        <f>SUM(C8:C9)/2</f>
        <v>344.65999999999997</v>
      </c>
      <c r="J10" s="8">
        <f>SUM(G8:G9)*100/SUM(F8:F9)</f>
        <v>0.70305540172874581</v>
      </c>
      <c r="L10" s="9"/>
    </row>
    <row r="11" spans="1:12" x14ac:dyDescent="0.4">
      <c r="A11" s="3" t="s">
        <v>13</v>
      </c>
      <c r="B11" s="4"/>
      <c r="C11" s="4"/>
      <c r="D11" s="4"/>
      <c r="E11" s="4"/>
      <c r="F11" s="4"/>
      <c r="G11" s="4"/>
      <c r="H11" s="4"/>
      <c r="I11" s="4"/>
      <c r="J11" s="5"/>
    </row>
    <row r="12" spans="1:12" x14ac:dyDescent="0.4">
      <c r="A12" s="5">
        <v>1</v>
      </c>
      <c r="B12" s="8">
        <v>4.6577299999999999</v>
      </c>
      <c r="C12" s="5">
        <v>192.56</v>
      </c>
      <c r="D12" s="5">
        <v>1</v>
      </c>
      <c r="E12" s="5">
        <v>42725</v>
      </c>
      <c r="F12" s="5">
        <v>42677</v>
      </c>
      <c r="G12" s="5">
        <v>48</v>
      </c>
      <c r="H12" s="5"/>
      <c r="I12" s="5"/>
      <c r="J12" s="5"/>
    </row>
    <row r="13" spans="1:12" x14ac:dyDescent="0.4">
      <c r="A13" s="5">
        <v>3</v>
      </c>
      <c r="B13" s="8">
        <v>4.13957</v>
      </c>
      <c r="C13" s="8">
        <v>191.15</v>
      </c>
      <c r="D13" s="5">
        <v>1</v>
      </c>
      <c r="E13" s="5">
        <v>38239</v>
      </c>
      <c r="F13" s="5">
        <v>38125</v>
      </c>
      <c r="G13" s="5">
        <v>114</v>
      </c>
      <c r="H13" s="5"/>
      <c r="I13" s="5"/>
      <c r="J13" s="5"/>
    </row>
    <row r="14" spans="1:12" x14ac:dyDescent="0.4">
      <c r="A14" s="5"/>
      <c r="B14" s="5"/>
      <c r="C14" s="5"/>
      <c r="D14" s="5"/>
      <c r="E14" s="5"/>
      <c r="F14" s="5"/>
      <c r="G14" s="5"/>
      <c r="H14" s="8">
        <f>SUM(B12:B13)/2</f>
        <v>4.3986499999999999</v>
      </c>
      <c r="I14" s="8">
        <f>SUM(C12:C13)/2</f>
        <v>191.85500000000002</v>
      </c>
      <c r="J14" s="8">
        <f>SUM(G12:G13)*100/SUM(F12:F13)</f>
        <v>0.20049008687903766</v>
      </c>
    </row>
    <row r="15" spans="1:12" ht="23" x14ac:dyDescent="0.5">
      <c r="A15" s="10" t="s">
        <v>14</v>
      </c>
      <c r="B15" s="1"/>
      <c r="C15" s="1"/>
      <c r="D15" s="1"/>
      <c r="E15" s="1"/>
      <c r="F15" s="1"/>
      <c r="G15" s="1"/>
      <c r="H15" s="1"/>
      <c r="I15" s="1"/>
      <c r="J15" s="1"/>
    </row>
    <row r="16" spans="1:12" x14ac:dyDescent="0.4">
      <c r="A16" s="11" t="s">
        <v>15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4" s="7" customFormat="1" ht="18.5" x14ac:dyDescent="0.45">
      <c r="A17" s="6" t="s">
        <v>2</v>
      </c>
      <c r="B17" s="6" t="s">
        <v>3</v>
      </c>
      <c r="C17" s="6" t="s">
        <v>4</v>
      </c>
      <c r="D17" s="6" t="s">
        <v>5</v>
      </c>
      <c r="E17" s="6" t="s">
        <v>6</v>
      </c>
      <c r="F17" s="6" t="s">
        <v>7</v>
      </c>
      <c r="G17" s="6" t="s">
        <v>8</v>
      </c>
      <c r="H17" s="6" t="s">
        <v>9</v>
      </c>
      <c r="I17" s="6" t="s">
        <v>10</v>
      </c>
      <c r="J17" s="6" t="s">
        <v>11</v>
      </c>
    </row>
    <row r="18" spans="1:14" x14ac:dyDescent="0.4">
      <c r="A18" s="5">
        <v>1</v>
      </c>
      <c r="B18" s="8">
        <v>1.7568699999999999</v>
      </c>
      <c r="C18" s="8">
        <v>333.66</v>
      </c>
      <c r="D18" s="5">
        <v>2</v>
      </c>
      <c r="E18" s="5">
        <v>17386</v>
      </c>
      <c r="F18" s="5">
        <v>17193</v>
      </c>
      <c r="G18" s="5">
        <v>193</v>
      </c>
      <c r="H18" s="5"/>
      <c r="I18" s="5"/>
      <c r="J18" s="5"/>
      <c r="L18" s="9"/>
    </row>
    <row r="19" spans="1:14" x14ac:dyDescent="0.4">
      <c r="A19" s="5">
        <v>3</v>
      </c>
      <c r="B19" s="8">
        <v>2.1557300000000001</v>
      </c>
      <c r="C19" s="8">
        <v>332.99</v>
      </c>
      <c r="D19" s="5">
        <v>1</v>
      </c>
      <c r="E19" s="5">
        <v>20830</v>
      </c>
      <c r="F19" s="5">
        <v>20697</v>
      </c>
      <c r="G19" s="5">
        <v>133</v>
      </c>
      <c r="H19" s="5"/>
      <c r="I19" s="5"/>
      <c r="J19" s="5"/>
      <c r="L19" s="9"/>
    </row>
    <row r="20" spans="1:14" x14ac:dyDescent="0.4">
      <c r="A20" s="5">
        <v>5</v>
      </c>
      <c r="B20" s="8">
        <v>1.64452</v>
      </c>
      <c r="C20" s="8">
        <v>333.08</v>
      </c>
      <c r="D20" s="5">
        <v>1</v>
      </c>
      <c r="E20" s="5">
        <v>16364</v>
      </c>
      <c r="F20" s="5">
        <v>16206</v>
      </c>
      <c r="G20" s="5">
        <v>158</v>
      </c>
      <c r="H20" s="5"/>
      <c r="I20" s="5"/>
      <c r="J20" s="5"/>
      <c r="L20" s="9"/>
    </row>
    <row r="21" spans="1:14" x14ac:dyDescent="0.4">
      <c r="A21" s="5">
        <v>7</v>
      </c>
      <c r="B21" s="8">
        <v>1.5764499999999999</v>
      </c>
      <c r="C21" s="8">
        <v>334.68</v>
      </c>
      <c r="D21" s="5">
        <v>1</v>
      </c>
      <c r="E21" s="5">
        <v>15730</v>
      </c>
      <c r="F21" s="5">
        <v>15608</v>
      </c>
      <c r="G21" s="5">
        <v>122</v>
      </c>
      <c r="H21" s="5"/>
      <c r="I21" s="5"/>
      <c r="J21" s="5"/>
      <c r="L21" s="9"/>
    </row>
    <row r="22" spans="1:14" x14ac:dyDescent="0.4">
      <c r="A22" s="5">
        <v>9</v>
      </c>
      <c r="B22" s="8">
        <v>1.3605100000000001</v>
      </c>
      <c r="C22" s="8">
        <v>336.13</v>
      </c>
      <c r="D22" s="5">
        <v>1</v>
      </c>
      <c r="E22" s="5">
        <v>13816</v>
      </c>
      <c r="F22" s="5">
        <v>13711</v>
      </c>
      <c r="G22" s="5">
        <v>105</v>
      </c>
      <c r="H22" s="5"/>
      <c r="I22" s="5"/>
      <c r="J22" s="5"/>
      <c r="L22" s="9"/>
    </row>
    <row r="23" spans="1:14" x14ac:dyDescent="0.4">
      <c r="A23" s="5"/>
      <c r="B23" s="5"/>
      <c r="C23" s="5"/>
      <c r="D23" s="5"/>
      <c r="E23" s="5"/>
      <c r="F23" s="5"/>
      <c r="G23" s="5"/>
      <c r="H23" s="8">
        <f>SUM(B18:B22)/5</f>
        <v>1.6988160000000001</v>
      </c>
      <c r="I23" s="8">
        <f>SUM(C18:C22)/5</f>
        <v>334.108</v>
      </c>
      <c r="J23" s="8">
        <f>SUM(G18:G22)*100/SUM(F18:F22)</f>
        <v>0.85236468261104115</v>
      </c>
    </row>
    <row r="24" spans="1:14" x14ac:dyDescent="0.4">
      <c r="A24" s="3" t="s">
        <v>16</v>
      </c>
      <c r="B24" s="4"/>
      <c r="C24" s="4"/>
      <c r="D24" s="4"/>
      <c r="E24" s="4"/>
      <c r="F24" s="4"/>
      <c r="G24" s="4"/>
      <c r="H24" s="4"/>
      <c r="I24" s="4"/>
      <c r="J24" s="5"/>
    </row>
    <row r="25" spans="1:14" x14ac:dyDescent="0.4">
      <c r="A25" s="5">
        <v>1</v>
      </c>
      <c r="B25" s="8">
        <v>1.9882899999999999</v>
      </c>
      <c r="C25" s="8">
        <v>354.11</v>
      </c>
      <c r="D25" s="5">
        <v>2</v>
      </c>
      <c r="E25" s="5">
        <v>19611</v>
      </c>
      <c r="F25" s="5">
        <v>19226</v>
      </c>
      <c r="G25" s="5">
        <v>385</v>
      </c>
      <c r="H25" s="5"/>
      <c r="I25" s="5"/>
      <c r="J25" s="5"/>
      <c r="L25" s="9"/>
      <c r="N25" s="9"/>
    </row>
    <row r="26" spans="1:14" x14ac:dyDescent="0.4">
      <c r="A26" s="5">
        <v>3</v>
      </c>
      <c r="B26" s="8">
        <v>1.9292100000000001</v>
      </c>
      <c r="C26" s="5">
        <v>359.98</v>
      </c>
      <c r="D26" s="5">
        <v>2</v>
      </c>
      <c r="E26" s="5">
        <v>18912</v>
      </c>
      <c r="F26" s="5">
        <v>18707</v>
      </c>
      <c r="G26" s="5">
        <v>205</v>
      </c>
      <c r="H26" s="5"/>
      <c r="I26" s="5"/>
      <c r="J26" s="5"/>
      <c r="L26" s="9"/>
    </row>
    <row r="27" spans="1:14" x14ac:dyDescent="0.4">
      <c r="A27" s="5">
        <v>5</v>
      </c>
      <c r="B27" s="8">
        <v>1.3197000000000001</v>
      </c>
      <c r="C27" s="8">
        <v>356.8</v>
      </c>
      <c r="D27" s="5">
        <v>1</v>
      </c>
      <c r="E27" s="5">
        <v>15521</v>
      </c>
      <c r="F27" s="5">
        <v>15393</v>
      </c>
      <c r="G27" s="5">
        <v>128</v>
      </c>
      <c r="H27" s="5"/>
      <c r="I27" s="5"/>
      <c r="J27" s="5"/>
      <c r="L27" s="9"/>
    </row>
    <row r="28" spans="1:14" x14ac:dyDescent="0.4">
      <c r="A28" s="5">
        <v>7</v>
      </c>
      <c r="B28" s="8">
        <v>1.71987</v>
      </c>
      <c r="C28" s="8">
        <v>356.91</v>
      </c>
      <c r="D28" s="5">
        <v>1</v>
      </c>
      <c r="E28" s="5">
        <v>17023</v>
      </c>
      <c r="F28" s="5">
        <v>16868</v>
      </c>
      <c r="G28" s="5">
        <v>155</v>
      </c>
      <c r="H28" s="5"/>
      <c r="I28" s="5"/>
      <c r="J28" s="5"/>
      <c r="L28" s="9"/>
    </row>
    <row r="29" spans="1:14" x14ac:dyDescent="0.4">
      <c r="A29" s="5">
        <v>9</v>
      </c>
      <c r="B29" s="8">
        <v>1.3084899999999999</v>
      </c>
      <c r="C29" s="8">
        <v>354.63</v>
      </c>
      <c r="D29" s="5">
        <v>2</v>
      </c>
      <c r="E29" s="5">
        <v>13425</v>
      </c>
      <c r="F29" s="5">
        <v>13254</v>
      </c>
      <c r="G29" s="5">
        <v>171</v>
      </c>
      <c r="H29" s="5"/>
      <c r="I29" s="5"/>
      <c r="J29" s="5"/>
      <c r="L29" s="9"/>
    </row>
    <row r="30" spans="1:14" x14ac:dyDescent="0.4">
      <c r="A30" s="5"/>
      <c r="B30" s="5"/>
      <c r="C30" s="5"/>
      <c r="D30" s="5"/>
      <c r="E30" s="5"/>
      <c r="F30" s="5"/>
      <c r="G30" s="5"/>
      <c r="H30" s="8">
        <f>SUM(B25:B29)/5</f>
        <v>1.6531120000000001</v>
      </c>
      <c r="I30" s="8">
        <f>SUM(C25:C29)/5</f>
        <v>356.48600000000005</v>
      </c>
      <c r="J30" s="8">
        <f>SUM(G25:G29)*100/SUM(F25:F29)</f>
        <v>1.2510785159620363</v>
      </c>
    </row>
    <row r="31" spans="1:14" x14ac:dyDescent="0.4">
      <c r="A31" s="13" t="s">
        <v>17</v>
      </c>
      <c r="B31" s="13"/>
      <c r="C31" s="13"/>
      <c r="D31" s="13"/>
      <c r="E31" s="13"/>
      <c r="F31" s="13"/>
      <c r="G31" s="13"/>
      <c r="H31" s="13"/>
      <c r="I31" s="13"/>
      <c r="J31" s="5"/>
    </row>
    <row r="32" spans="1:14" x14ac:dyDescent="0.4">
      <c r="A32" s="5">
        <v>1</v>
      </c>
      <c r="B32" s="8">
        <v>1.925</v>
      </c>
      <c r="C32" s="8">
        <v>233.78</v>
      </c>
      <c r="D32" s="5">
        <v>1</v>
      </c>
      <c r="E32" s="5">
        <v>18722</v>
      </c>
      <c r="F32" s="5">
        <v>18670</v>
      </c>
      <c r="G32" s="5">
        <v>52</v>
      </c>
      <c r="H32" s="5"/>
      <c r="I32" s="5"/>
      <c r="J32" s="5"/>
      <c r="L32" s="9"/>
    </row>
    <row r="33" spans="1:12" x14ac:dyDescent="0.4">
      <c r="A33" s="5">
        <v>3</v>
      </c>
      <c r="B33" s="8">
        <v>1.6282399999999999</v>
      </c>
      <c r="C33" s="8">
        <v>234.91</v>
      </c>
      <c r="D33" s="5">
        <v>1</v>
      </c>
      <c r="E33" s="5">
        <v>16121</v>
      </c>
      <c r="F33" s="5">
        <v>16063</v>
      </c>
      <c r="G33" s="5">
        <v>58</v>
      </c>
      <c r="H33" s="5"/>
      <c r="I33" s="5"/>
      <c r="J33" s="5"/>
      <c r="L33" s="9"/>
    </row>
    <row r="34" spans="1:12" x14ac:dyDescent="0.4">
      <c r="A34" s="5">
        <v>5</v>
      </c>
      <c r="B34" s="8">
        <v>1.6850400000000001</v>
      </c>
      <c r="C34" s="8">
        <v>235.39</v>
      </c>
      <c r="D34" s="5">
        <v>1</v>
      </c>
      <c r="E34" s="5">
        <v>16623</v>
      </c>
      <c r="F34" s="5">
        <v>16562</v>
      </c>
      <c r="G34" s="5">
        <v>61</v>
      </c>
      <c r="H34" s="5"/>
      <c r="I34" s="5"/>
      <c r="J34" s="5"/>
      <c r="L34" s="9"/>
    </row>
    <row r="35" spans="1:12" x14ac:dyDescent="0.4">
      <c r="A35" s="5">
        <v>7</v>
      </c>
      <c r="B35" s="8">
        <v>1.52488</v>
      </c>
      <c r="C35" s="8">
        <v>235.6</v>
      </c>
      <c r="D35" s="5">
        <v>1</v>
      </c>
      <c r="E35" s="5">
        <v>15210</v>
      </c>
      <c r="F35" s="5">
        <v>15155</v>
      </c>
      <c r="G35" s="5">
        <v>55</v>
      </c>
      <c r="H35" s="5"/>
      <c r="I35" s="5"/>
      <c r="J35" s="5"/>
      <c r="L35" s="9"/>
    </row>
    <row r="36" spans="1:12" x14ac:dyDescent="0.4">
      <c r="A36" s="5">
        <v>9</v>
      </c>
      <c r="B36" s="8">
        <v>1.4814000000000001</v>
      </c>
      <c r="C36" s="8">
        <v>235.36</v>
      </c>
      <c r="D36" s="5">
        <v>1</v>
      </c>
      <c r="E36" s="5">
        <v>14823</v>
      </c>
      <c r="F36" s="5">
        <v>14773</v>
      </c>
      <c r="G36" s="5">
        <v>50</v>
      </c>
      <c r="H36" s="5"/>
      <c r="I36" s="5"/>
      <c r="J36" s="5"/>
      <c r="L36" s="9"/>
    </row>
    <row r="37" spans="1:12" x14ac:dyDescent="0.4">
      <c r="A37" s="5"/>
      <c r="B37" s="5"/>
      <c r="C37" s="5"/>
      <c r="D37" s="5"/>
      <c r="E37" s="5"/>
      <c r="F37" s="5"/>
      <c r="G37" s="5"/>
      <c r="H37" s="8">
        <f>SUM(B32:B36)/5</f>
        <v>1.6489119999999999</v>
      </c>
      <c r="I37" s="8">
        <f>SUM(C32:C36)/5</f>
        <v>235.00799999999998</v>
      </c>
      <c r="J37" s="8">
        <f>SUM(G32:G36)*100/SUM(F32:F36)</f>
        <v>0.33980522758331999</v>
      </c>
    </row>
    <row r="38" spans="1:12" ht="23" x14ac:dyDescent="0.5">
      <c r="A38" s="14" t="s">
        <v>18</v>
      </c>
      <c r="B38" s="14"/>
      <c r="C38" s="14"/>
      <c r="D38" s="14"/>
      <c r="E38" s="14"/>
      <c r="F38" s="14"/>
      <c r="G38" s="14"/>
      <c r="H38" s="14"/>
      <c r="I38" s="14"/>
      <c r="J38" s="5"/>
    </row>
    <row r="39" spans="1:12" x14ac:dyDescent="0.4">
      <c r="A39" s="4" t="s">
        <v>19</v>
      </c>
      <c r="B39" s="4"/>
      <c r="C39" s="4"/>
      <c r="D39" s="4"/>
      <c r="E39" s="4"/>
      <c r="F39" s="4"/>
      <c r="G39" s="4"/>
      <c r="H39" s="4"/>
      <c r="I39" s="4"/>
      <c r="J39" s="5"/>
    </row>
    <row r="40" spans="1:12" s="7" customFormat="1" ht="18.5" x14ac:dyDescent="0.45">
      <c r="A40" s="6" t="s">
        <v>2</v>
      </c>
      <c r="B40" s="6" t="s">
        <v>3</v>
      </c>
      <c r="C40" s="6" t="s">
        <v>4</v>
      </c>
      <c r="D40" s="6" t="s">
        <v>5</v>
      </c>
      <c r="E40" s="6" t="s">
        <v>6</v>
      </c>
      <c r="F40" s="6" t="s">
        <v>7</v>
      </c>
      <c r="G40" s="6" t="s">
        <v>8</v>
      </c>
      <c r="H40" s="6" t="s">
        <v>9</v>
      </c>
      <c r="I40" s="6" t="s">
        <v>10</v>
      </c>
      <c r="J40" s="6" t="s">
        <v>11</v>
      </c>
    </row>
    <row r="41" spans="1:12" x14ac:dyDescent="0.4">
      <c r="A41" s="5">
        <v>1</v>
      </c>
      <c r="B41" s="8">
        <v>0.91</v>
      </c>
      <c r="C41" s="8">
        <v>334.87</v>
      </c>
      <c r="D41" s="5">
        <v>1</v>
      </c>
      <c r="E41" s="5">
        <v>9848</v>
      </c>
      <c r="F41" s="5">
        <v>9758</v>
      </c>
      <c r="G41" s="5">
        <v>90</v>
      </c>
      <c r="H41" s="5"/>
      <c r="I41" s="5"/>
      <c r="J41" s="5"/>
      <c r="L41" s="9"/>
    </row>
    <row r="42" spans="1:12" x14ac:dyDescent="0.4">
      <c r="A42" s="5">
        <v>3</v>
      </c>
      <c r="B42" s="8">
        <v>0.81</v>
      </c>
      <c r="C42" s="8">
        <v>334.71</v>
      </c>
      <c r="D42" s="5">
        <v>1</v>
      </c>
      <c r="E42" s="5">
        <v>9010</v>
      </c>
      <c r="F42" s="5">
        <v>8923</v>
      </c>
      <c r="G42" s="5">
        <v>96</v>
      </c>
      <c r="H42" s="5"/>
      <c r="I42" s="5"/>
      <c r="J42" s="5"/>
      <c r="L42" s="9"/>
    </row>
    <row r="43" spans="1:12" x14ac:dyDescent="0.4">
      <c r="A43" s="5">
        <v>5</v>
      </c>
      <c r="B43" s="8">
        <v>1.56</v>
      </c>
      <c r="C43" s="8">
        <v>335.71</v>
      </c>
      <c r="D43" s="5">
        <v>1</v>
      </c>
      <c r="E43" s="5">
        <v>15531</v>
      </c>
      <c r="F43" s="5">
        <v>15422</v>
      </c>
      <c r="G43" s="5">
        <v>109</v>
      </c>
      <c r="H43" s="5"/>
      <c r="I43" s="5"/>
      <c r="J43" s="5"/>
      <c r="L43" s="9"/>
    </row>
    <row r="44" spans="1:12" x14ac:dyDescent="0.4">
      <c r="A44" s="5">
        <v>7</v>
      </c>
      <c r="B44" s="8">
        <v>0.91</v>
      </c>
      <c r="C44" s="8">
        <v>335.57</v>
      </c>
      <c r="D44" s="5">
        <v>2</v>
      </c>
      <c r="E44" s="5">
        <v>9878</v>
      </c>
      <c r="F44" s="5">
        <v>9777</v>
      </c>
      <c r="G44" s="5">
        <v>101</v>
      </c>
      <c r="H44" s="5"/>
      <c r="I44" s="5"/>
      <c r="J44" s="5"/>
      <c r="L44" s="9"/>
    </row>
    <row r="45" spans="1:12" x14ac:dyDescent="0.4">
      <c r="A45" s="5">
        <v>9</v>
      </c>
      <c r="B45" s="8">
        <v>0.85</v>
      </c>
      <c r="C45" s="8">
        <v>331.19</v>
      </c>
      <c r="D45" s="5">
        <v>2</v>
      </c>
      <c r="E45" s="5">
        <v>9292</v>
      </c>
      <c r="F45" s="5">
        <v>9190</v>
      </c>
      <c r="G45" s="5">
        <v>102</v>
      </c>
      <c r="H45" s="5"/>
      <c r="I45" s="5"/>
      <c r="J45" s="5"/>
      <c r="L45" s="9"/>
    </row>
    <row r="46" spans="1:12" x14ac:dyDescent="0.4">
      <c r="A46" s="5">
        <v>11</v>
      </c>
      <c r="B46" s="8">
        <v>0.77</v>
      </c>
      <c r="C46" s="8">
        <v>333.44</v>
      </c>
      <c r="D46" s="5">
        <v>1</v>
      </c>
      <c r="E46" s="5">
        <v>8568</v>
      </c>
      <c r="F46" s="5">
        <v>8497</v>
      </c>
      <c r="G46" s="5">
        <v>71</v>
      </c>
      <c r="H46" s="5"/>
      <c r="I46" s="5"/>
      <c r="J46" s="5"/>
      <c r="L46" s="9"/>
    </row>
    <row r="47" spans="1:12" x14ac:dyDescent="0.4">
      <c r="A47" s="5">
        <v>13</v>
      </c>
      <c r="B47" s="8">
        <v>0.75</v>
      </c>
      <c r="C47" s="8">
        <v>334.44</v>
      </c>
      <c r="D47" s="5">
        <v>2</v>
      </c>
      <c r="E47" s="5">
        <v>8575</v>
      </c>
      <c r="F47" s="5">
        <v>8484</v>
      </c>
      <c r="G47" s="5">
        <v>91</v>
      </c>
      <c r="H47" s="5"/>
      <c r="I47" s="5"/>
      <c r="J47" s="5"/>
      <c r="L47" s="9"/>
    </row>
    <row r="48" spans="1:12" x14ac:dyDescent="0.4">
      <c r="A48" s="5">
        <v>15</v>
      </c>
      <c r="B48" s="8">
        <v>0.73</v>
      </c>
      <c r="C48" s="8">
        <v>335.84</v>
      </c>
      <c r="D48" s="5">
        <v>1</v>
      </c>
      <c r="E48" s="5">
        <v>8225</v>
      </c>
      <c r="F48" s="5">
        <v>8176</v>
      </c>
      <c r="G48" s="5">
        <v>49</v>
      </c>
      <c r="H48" s="5"/>
      <c r="I48" s="5"/>
      <c r="J48" s="5"/>
      <c r="L48" s="9"/>
    </row>
    <row r="49" spans="1:13" x14ac:dyDescent="0.4">
      <c r="A49" s="5">
        <v>16</v>
      </c>
      <c r="B49" s="8">
        <v>0.39</v>
      </c>
      <c r="C49" s="8">
        <v>333.02</v>
      </c>
      <c r="D49" s="5">
        <v>2</v>
      </c>
      <c r="E49" s="5">
        <v>5264</v>
      </c>
      <c r="F49" s="5">
        <v>5196</v>
      </c>
      <c r="G49" s="5">
        <v>68</v>
      </c>
      <c r="H49" s="5"/>
      <c r="I49" s="5"/>
      <c r="J49" s="5"/>
      <c r="L49" s="9"/>
    </row>
    <row r="50" spans="1:13" x14ac:dyDescent="0.4">
      <c r="A50" s="5"/>
      <c r="B50" s="5"/>
      <c r="C50" s="5"/>
      <c r="D50" s="5"/>
      <c r="E50" s="5"/>
      <c r="F50" s="5"/>
      <c r="G50" s="5"/>
      <c r="H50" s="8">
        <f>SUM(B41:B49)/9</f>
        <v>0.85333333333333339</v>
      </c>
      <c r="I50" s="8">
        <f>SUM(C41:C49)/9</f>
        <v>334.31</v>
      </c>
      <c r="J50" s="8">
        <f>SUM(G41:G49)*100/SUM(F41:F49)</f>
        <v>0.93139781595003779</v>
      </c>
      <c r="L50" s="9"/>
    </row>
    <row r="51" spans="1:13" x14ac:dyDescent="0.4">
      <c r="A51" s="3" t="s">
        <v>20</v>
      </c>
      <c r="B51" s="4"/>
      <c r="C51" s="4"/>
      <c r="D51" s="4"/>
      <c r="E51" s="4"/>
      <c r="F51" s="4"/>
      <c r="G51" s="4"/>
      <c r="H51" s="4"/>
      <c r="I51" s="4"/>
      <c r="J51" s="5"/>
    </row>
    <row r="52" spans="1:13" x14ac:dyDescent="0.4">
      <c r="A52" s="5">
        <v>1</v>
      </c>
      <c r="B52" s="8">
        <v>1.1399999999999999</v>
      </c>
      <c r="C52" s="5">
        <v>368.2</v>
      </c>
      <c r="D52" s="5">
        <v>2</v>
      </c>
      <c r="E52" s="5">
        <v>11924</v>
      </c>
      <c r="F52" s="5">
        <v>11739</v>
      </c>
      <c r="G52" s="5">
        <v>185</v>
      </c>
      <c r="H52" s="5"/>
      <c r="I52" s="5"/>
      <c r="J52" s="5"/>
      <c r="K52" s="9"/>
    </row>
    <row r="53" spans="1:13" x14ac:dyDescent="0.4">
      <c r="A53" s="5">
        <v>3</v>
      </c>
      <c r="B53" s="8">
        <v>1.42</v>
      </c>
      <c r="C53" s="8">
        <v>369.02</v>
      </c>
      <c r="D53" s="5">
        <v>3</v>
      </c>
      <c r="E53" s="5">
        <v>14589</v>
      </c>
      <c r="F53" s="5">
        <v>14267</v>
      </c>
      <c r="G53" s="5">
        <v>114</v>
      </c>
      <c r="H53" s="5"/>
      <c r="I53" s="5"/>
      <c r="J53" s="5"/>
      <c r="K53" s="9"/>
    </row>
    <row r="54" spans="1:13" x14ac:dyDescent="0.4">
      <c r="A54" s="5">
        <v>5</v>
      </c>
      <c r="B54" s="8">
        <v>0.77</v>
      </c>
      <c r="C54" s="5">
        <v>364.38</v>
      </c>
      <c r="D54" s="5">
        <v>2</v>
      </c>
      <c r="E54" s="5">
        <v>8688</v>
      </c>
      <c r="F54" s="5">
        <v>8550</v>
      </c>
      <c r="G54" s="5">
        <v>138</v>
      </c>
      <c r="H54" s="5"/>
      <c r="I54" s="5"/>
      <c r="J54" s="5"/>
      <c r="K54" s="9"/>
    </row>
    <row r="55" spans="1:13" x14ac:dyDescent="0.4">
      <c r="A55" s="5">
        <v>7</v>
      </c>
      <c r="B55" s="8">
        <v>0.57999999999999996</v>
      </c>
      <c r="C55" s="8">
        <v>363.82</v>
      </c>
      <c r="D55" s="5">
        <v>3</v>
      </c>
      <c r="E55" s="5">
        <v>7011</v>
      </c>
      <c r="F55" s="5">
        <v>6842</v>
      </c>
      <c r="G55" s="5">
        <v>169</v>
      </c>
      <c r="H55" s="5"/>
      <c r="I55" s="5"/>
      <c r="J55" s="5"/>
      <c r="K55" s="9"/>
    </row>
    <row r="56" spans="1:13" x14ac:dyDescent="0.4">
      <c r="A56" s="5">
        <v>9</v>
      </c>
      <c r="B56" s="8">
        <v>0.79</v>
      </c>
      <c r="C56" s="8">
        <v>370.68</v>
      </c>
      <c r="D56" s="5">
        <v>2</v>
      </c>
      <c r="E56" s="5">
        <v>8787</v>
      </c>
      <c r="F56" s="5">
        <v>8660</v>
      </c>
      <c r="G56" s="5">
        <v>127</v>
      </c>
      <c r="H56" s="5"/>
      <c r="I56" s="5"/>
      <c r="J56" s="5"/>
      <c r="K56" s="9"/>
      <c r="M56" s="9"/>
    </row>
    <row r="57" spans="1:13" x14ac:dyDescent="0.4">
      <c r="A57" s="5">
        <v>11</v>
      </c>
      <c r="B57" s="8">
        <v>0.79</v>
      </c>
      <c r="C57" s="8">
        <v>371.95600000000002</v>
      </c>
      <c r="D57" s="5">
        <v>2</v>
      </c>
      <c r="E57" s="5">
        <v>8809</v>
      </c>
      <c r="F57" s="5">
        <v>8692</v>
      </c>
      <c r="G57" s="5">
        <v>117</v>
      </c>
      <c r="H57" s="5"/>
      <c r="I57" s="5"/>
      <c r="J57" s="5"/>
      <c r="K57" s="9"/>
      <c r="M57" s="9"/>
    </row>
    <row r="58" spans="1:13" x14ac:dyDescent="0.4">
      <c r="A58" s="5">
        <v>13</v>
      </c>
      <c r="B58" s="8">
        <v>0.76</v>
      </c>
      <c r="C58" s="5">
        <v>335.11</v>
      </c>
      <c r="D58" s="5">
        <v>2</v>
      </c>
      <c r="E58" s="5">
        <v>8511</v>
      </c>
      <c r="F58" s="5">
        <v>8412</v>
      </c>
      <c r="G58" s="5">
        <v>99</v>
      </c>
      <c r="H58" s="5"/>
      <c r="I58" s="5"/>
      <c r="J58" s="5"/>
      <c r="K58" s="9"/>
      <c r="M58" s="9"/>
    </row>
    <row r="59" spans="1:13" x14ac:dyDescent="0.4">
      <c r="A59" s="5">
        <v>14</v>
      </c>
      <c r="B59" s="8">
        <v>0.73</v>
      </c>
      <c r="C59" s="8">
        <v>372.52</v>
      </c>
      <c r="D59" s="5">
        <v>2</v>
      </c>
      <c r="E59" s="5">
        <v>8273</v>
      </c>
      <c r="F59" s="5">
        <v>8177</v>
      </c>
      <c r="G59" s="5">
        <v>96</v>
      </c>
      <c r="H59" s="5"/>
      <c r="I59" s="5"/>
      <c r="J59" s="5"/>
      <c r="K59" s="9"/>
      <c r="M59" s="9"/>
    </row>
    <row r="60" spans="1:13" x14ac:dyDescent="0.4">
      <c r="A60" s="5">
        <v>16</v>
      </c>
      <c r="B60" s="8">
        <v>0.72</v>
      </c>
      <c r="C60" s="8">
        <v>377.02</v>
      </c>
      <c r="D60" s="5">
        <v>2</v>
      </c>
      <c r="E60" s="5">
        <v>8201</v>
      </c>
      <c r="F60" s="5">
        <v>8114</v>
      </c>
      <c r="G60" s="5">
        <v>87</v>
      </c>
      <c r="H60" s="5"/>
      <c r="I60" s="5"/>
      <c r="J60" s="5"/>
      <c r="K60" s="9"/>
      <c r="M60" s="9"/>
    </row>
    <row r="61" spans="1:13" x14ac:dyDescent="0.4">
      <c r="A61" s="5"/>
      <c r="B61" s="5"/>
      <c r="C61" s="5"/>
      <c r="D61" s="5"/>
      <c r="E61" s="5"/>
      <c r="F61" s="5"/>
      <c r="G61" s="5"/>
      <c r="H61" s="8">
        <f>SUM(B52:B60)/9</f>
        <v>0.8555555555555554</v>
      </c>
      <c r="I61" s="8">
        <f>SUM(C52:C60)/9</f>
        <v>365.85622222222224</v>
      </c>
      <c r="J61" s="8">
        <f>SUM(G52:G60)*100/SUM(F52:F60)</f>
        <v>1.3564521347345213</v>
      </c>
      <c r="L61" s="9"/>
      <c r="M61" s="9"/>
    </row>
    <row r="62" spans="1:13" x14ac:dyDescent="0.4">
      <c r="A62" s="3" t="s">
        <v>21</v>
      </c>
      <c r="B62" s="4"/>
      <c r="C62" s="4"/>
      <c r="D62" s="4"/>
      <c r="E62" s="4"/>
      <c r="F62" s="4"/>
      <c r="G62" s="4"/>
      <c r="H62" s="4"/>
      <c r="I62" s="4"/>
      <c r="J62" s="5"/>
      <c r="M62" s="9"/>
    </row>
    <row r="63" spans="1:13" x14ac:dyDescent="0.4">
      <c r="A63" s="5">
        <v>1</v>
      </c>
      <c r="B63" s="8">
        <v>1.7</v>
      </c>
      <c r="C63" s="5">
        <v>233.04</v>
      </c>
      <c r="D63" s="5">
        <v>1</v>
      </c>
      <c r="E63" s="5">
        <v>18851</v>
      </c>
      <c r="F63" s="5">
        <v>18725</v>
      </c>
      <c r="G63" s="5">
        <v>126</v>
      </c>
      <c r="H63" s="5"/>
      <c r="I63" s="5"/>
      <c r="J63" s="5"/>
      <c r="K63" s="9"/>
      <c r="M63" s="9"/>
    </row>
    <row r="64" spans="1:13" x14ac:dyDescent="0.4">
      <c r="A64" s="5">
        <v>3</v>
      </c>
      <c r="B64" s="8">
        <v>1.49</v>
      </c>
      <c r="C64" s="8">
        <v>240.24</v>
      </c>
      <c r="D64" s="5">
        <v>1</v>
      </c>
      <c r="E64" s="5">
        <v>14939</v>
      </c>
      <c r="F64" s="5">
        <v>14851</v>
      </c>
      <c r="G64" s="5">
        <v>88</v>
      </c>
      <c r="H64" s="5"/>
      <c r="I64" s="5"/>
      <c r="J64" s="5"/>
      <c r="K64" s="9"/>
      <c r="M64" s="9"/>
    </row>
    <row r="65" spans="1:13" x14ac:dyDescent="0.4">
      <c r="A65" s="5">
        <v>5</v>
      </c>
      <c r="B65" s="8">
        <v>0.88</v>
      </c>
      <c r="C65" s="8">
        <v>244.28</v>
      </c>
      <c r="D65" s="5">
        <v>1</v>
      </c>
      <c r="E65" s="5">
        <v>9544</v>
      </c>
      <c r="F65" s="5">
        <v>9475</v>
      </c>
      <c r="G65" s="5">
        <v>69</v>
      </c>
      <c r="H65" s="5"/>
      <c r="I65" s="5"/>
      <c r="J65" s="5"/>
      <c r="K65" s="9"/>
      <c r="M65" s="9"/>
    </row>
    <row r="66" spans="1:13" x14ac:dyDescent="0.4">
      <c r="A66" s="5">
        <v>9</v>
      </c>
      <c r="B66" s="8">
        <v>1.07</v>
      </c>
      <c r="C66" s="8">
        <v>240.51</v>
      </c>
      <c r="D66" s="5">
        <v>1</v>
      </c>
      <c r="E66" s="5">
        <v>11176</v>
      </c>
      <c r="F66" s="5">
        <v>11116</v>
      </c>
      <c r="G66" s="5">
        <v>60</v>
      </c>
      <c r="H66" s="5"/>
      <c r="I66" s="5"/>
      <c r="J66" s="5"/>
      <c r="K66" s="9"/>
    </row>
    <row r="67" spans="1:13" x14ac:dyDescent="0.4">
      <c r="A67" s="5">
        <v>11</v>
      </c>
      <c r="B67" s="8">
        <v>0.9</v>
      </c>
      <c r="C67" s="8">
        <v>241.36</v>
      </c>
      <c r="D67" s="5">
        <v>1</v>
      </c>
      <c r="E67" s="5">
        <v>9759</v>
      </c>
      <c r="F67" s="5">
        <v>9706</v>
      </c>
      <c r="G67" s="5">
        <v>53</v>
      </c>
      <c r="H67" s="5"/>
      <c r="I67" s="5"/>
      <c r="J67" s="5"/>
      <c r="K67" s="9"/>
    </row>
    <row r="68" spans="1:13" x14ac:dyDescent="0.4">
      <c r="A68" s="5">
        <v>13</v>
      </c>
      <c r="B68" s="8">
        <v>0.09</v>
      </c>
      <c r="C68" s="8">
        <v>262.52</v>
      </c>
      <c r="D68" s="5">
        <v>5</v>
      </c>
      <c r="E68" s="5">
        <v>2714</v>
      </c>
      <c r="F68" s="5">
        <v>2580</v>
      </c>
      <c r="G68" s="5">
        <v>134</v>
      </c>
      <c r="H68" s="5"/>
      <c r="I68" s="5"/>
      <c r="J68" s="5"/>
      <c r="K68" s="9"/>
    </row>
    <row r="69" spans="1:13" x14ac:dyDescent="0.4">
      <c r="A69" s="5">
        <v>15</v>
      </c>
      <c r="B69" s="8">
        <v>0.03</v>
      </c>
      <c r="C69" s="8">
        <v>301.58999999999997</v>
      </c>
      <c r="D69" s="5">
        <v>14</v>
      </c>
      <c r="E69" s="5">
        <v>453</v>
      </c>
      <c r="F69" s="5">
        <v>392</v>
      </c>
      <c r="G69" s="5">
        <v>61</v>
      </c>
      <c r="H69" s="5"/>
      <c r="I69" s="5"/>
      <c r="J69" s="5"/>
      <c r="K69" s="9"/>
    </row>
    <row r="70" spans="1:13" x14ac:dyDescent="0.4">
      <c r="A70" s="5">
        <v>16</v>
      </c>
      <c r="B70" s="8">
        <v>1.33</v>
      </c>
      <c r="C70" s="5">
        <v>247.54</v>
      </c>
      <c r="D70" s="5">
        <v>1</v>
      </c>
      <c r="E70" s="5">
        <v>13609</v>
      </c>
      <c r="F70" s="5">
        <v>13474</v>
      </c>
      <c r="G70" s="5">
        <v>135</v>
      </c>
      <c r="H70" s="5"/>
      <c r="I70" s="5"/>
      <c r="J70" s="5"/>
      <c r="K70" s="9"/>
    </row>
    <row r="71" spans="1:13" x14ac:dyDescent="0.4">
      <c r="A71" s="5">
        <v>7</v>
      </c>
      <c r="B71" s="8">
        <v>0.04</v>
      </c>
      <c r="C71" s="8">
        <v>304.83999999999997</v>
      </c>
      <c r="D71" s="5">
        <v>5</v>
      </c>
      <c r="E71" s="5">
        <v>489</v>
      </c>
      <c r="F71" s="5">
        <v>466</v>
      </c>
      <c r="G71" s="5">
        <v>23</v>
      </c>
      <c r="H71" s="5"/>
      <c r="I71" s="5"/>
      <c r="J71" s="5"/>
      <c r="K71" s="9"/>
    </row>
    <row r="72" spans="1:13" x14ac:dyDescent="0.4">
      <c r="A72" s="5"/>
      <c r="B72" s="5"/>
      <c r="C72" s="5"/>
      <c r="D72" s="5"/>
      <c r="E72" s="5"/>
      <c r="F72" s="5"/>
      <c r="G72" s="5"/>
      <c r="H72" s="8">
        <f>SUM(B63:B71)/9</f>
        <v>0.83666666666666678</v>
      </c>
      <c r="I72" s="8">
        <f>SUM(C63:C71)/9</f>
        <v>257.3244444444444</v>
      </c>
      <c r="J72" s="8">
        <f>SUM(G63:G71)*100/SUM(F63:F71)</f>
        <v>0.92715231788079466</v>
      </c>
      <c r="L72" s="9"/>
    </row>
  </sheetData>
  <mergeCells count="12">
    <mergeCell ref="A24:I24"/>
    <mergeCell ref="A31:I31"/>
    <mergeCell ref="A38:I38"/>
    <mergeCell ref="A39:I39"/>
    <mergeCell ref="A51:I51"/>
    <mergeCell ref="A62:I62"/>
    <mergeCell ref="A1:J1"/>
    <mergeCell ref="A2:I2"/>
    <mergeCell ref="A7:I7"/>
    <mergeCell ref="A11:I11"/>
    <mergeCell ref="A15:J15"/>
    <mergeCell ref="A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Mbula</dc:creator>
  <cp:lastModifiedBy>Gloria Mbula</cp:lastModifiedBy>
  <dcterms:created xsi:type="dcterms:W3CDTF">2026-04-27T07:30:36Z</dcterms:created>
  <dcterms:modified xsi:type="dcterms:W3CDTF">2026-04-27T07:31:25Z</dcterms:modified>
</cp:coreProperties>
</file>